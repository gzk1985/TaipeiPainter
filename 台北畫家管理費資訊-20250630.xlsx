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ystem\NEW_SVN\TaipeiPainter\"/>
    </mc:Choice>
  </mc:AlternateContent>
  <xr:revisionPtr revIDLastSave="0" documentId="13_ncr:1_{E193B4B6-3F9C-4885-95F7-33B1572A8F3A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門牌" sheetId="1" r:id="rId1"/>
    <sheet name="應收管理費" sheetId="2" r:id="rId2"/>
    <sheet name="承租" sheetId="5" r:id="rId3"/>
  </sheets>
  <definedNames>
    <definedName name="_xlnm._FilterDatabase" localSheetId="0" hidden="1">門牌!$J$1:$J$35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2" l="1"/>
  <c r="J36" i="2" s="1"/>
  <c r="I35" i="2"/>
  <c r="J35" i="2" s="1"/>
  <c r="I18" i="2"/>
  <c r="J18" i="2" s="1"/>
  <c r="I29" i="2"/>
  <c r="J29" i="2" s="1"/>
  <c r="I28" i="2"/>
  <c r="J28" i="2" s="1"/>
  <c r="I3" i="2"/>
  <c r="J3" i="2" s="1"/>
  <c r="I4" i="2"/>
  <c r="J4" i="2" s="1"/>
  <c r="I5" i="2"/>
  <c r="J5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9" i="2"/>
  <c r="J19" i="2" s="1"/>
  <c r="I20" i="2"/>
  <c r="J20" i="2" s="1"/>
  <c r="I21" i="2"/>
  <c r="J21" i="2" s="1"/>
  <c r="I22" i="2"/>
  <c r="J22" i="2" s="1"/>
  <c r="I23" i="2"/>
  <c r="J23" i="2" s="1"/>
  <c r="I24" i="2"/>
  <c r="J24" i="2" s="1"/>
  <c r="I25" i="2"/>
  <c r="J25" i="2" s="1"/>
  <c r="I26" i="2"/>
  <c r="J26" i="2" s="1"/>
  <c r="I27" i="2"/>
  <c r="J27" i="2" s="1"/>
  <c r="I30" i="2"/>
  <c r="J30" i="2" s="1"/>
  <c r="I31" i="2"/>
  <c r="J31" i="2" s="1"/>
  <c r="I32" i="2"/>
  <c r="J32" i="2" s="1"/>
  <c r="I33" i="2"/>
  <c r="J33" i="2" s="1"/>
  <c r="I34" i="2"/>
  <c r="J34" i="2" s="1"/>
  <c r="I2" i="2"/>
  <c r="J2" i="2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</calcChain>
</file>

<file path=xl/sharedStrings.xml><?xml version="1.0" encoding="utf-8"?>
<sst xmlns="http://schemas.openxmlformats.org/spreadsheetml/2006/main" count="324" uniqueCount="150">
  <si>
    <t>六福路245號</t>
  </si>
  <si>
    <t>六福路245號二樓之1</t>
  </si>
  <si>
    <t>六福路245號三樓之1</t>
  </si>
  <si>
    <t>六福路245號四樓之1</t>
  </si>
  <si>
    <t>六福路245號五樓之1</t>
  </si>
  <si>
    <t>六福路245號六樓之1</t>
  </si>
  <si>
    <t>六福路245號七樓之1</t>
  </si>
  <si>
    <t>六福路245號二樓之2</t>
  </si>
  <si>
    <t>六福路245號三樓之2</t>
  </si>
  <si>
    <t>六福路245號四樓之2</t>
  </si>
  <si>
    <t>六福路245號五樓之2</t>
  </si>
  <si>
    <t>六福路245號六樓之2</t>
  </si>
  <si>
    <t>六福路245號七樓之2</t>
  </si>
  <si>
    <t>六福路247巷1號</t>
  </si>
  <si>
    <t>六福路247巷1號二樓</t>
  </si>
  <si>
    <t>六福路247巷1號三樓</t>
  </si>
  <si>
    <t>六福路247巷1號四樓</t>
  </si>
  <si>
    <t>六福路247巷1號五樓</t>
  </si>
  <si>
    <t>六福路247巷1號六樓</t>
  </si>
  <si>
    <t>六福路247巷1號七樓</t>
  </si>
  <si>
    <t>六福路247巷3之1號</t>
  </si>
  <si>
    <t>六福路247巷3之1號二樓</t>
  </si>
  <si>
    <t>六福路247巷3之1號三樓</t>
  </si>
  <si>
    <t>六福路247巷3之1號四樓</t>
  </si>
  <si>
    <t>六福路247巷3之1號五樓</t>
  </si>
  <si>
    <t>六福路247巷3之1號六樓</t>
  </si>
  <si>
    <t>六福路247巷3之1號七樓</t>
  </si>
  <si>
    <t>六福路247巷3號</t>
  </si>
  <si>
    <t>六福路247巷3號二樓</t>
  </si>
  <si>
    <t>六福路247巷3號三樓</t>
  </si>
  <si>
    <t>六福路247巷3號四樓</t>
  </si>
  <si>
    <t>六福路247巷3號五樓</t>
  </si>
  <si>
    <t>六福路247巷3號六樓</t>
  </si>
  <si>
    <t>六福路247巷3號七樓</t>
  </si>
  <si>
    <t>羅文生</t>
  </si>
  <si>
    <t>陳佑柔</t>
  </si>
  <si>
    <t>林賜聰</t>
  </si>
  <si>
    <t>徐淑蓮</t>
  </si>
  <si>
    <t>呂學平</t>
  </si>
  <si>
    <t>陳再興</t>
  </si>
  <si>
    <t>張玟卿</t>
  </si>
  <si>
    <t>朱梅雪</t>
  </si>
  <si>
    <t>吳素真</t>
  </si>
  <si>
    <t>李寶玉</t>
  </si>
  <si>
    <t>呂紹賢</t>
  </si>
  <si>
    <t>胡警隆</t>
  </si>
  <si>
    <t>張漢民</t>
  </si>
  <si>
    <t>林濟雄</t>
  </si>
  <si>
    <t>張俊敏</t>
  </si>
  <si>
    <t>陳世平</t>
  </si>
  <si>
    <t>官哲寬</t>
  </si>
  <si>
    <t>姜胡葉妹</t>
  </si>
  <si>
    <t>廖素</t>
  </si>
  <si>
    <t>李奇峯</t>
  </si>
  <si>
    <t>蕭淑華</t>
  </si>
  <si>
    <t>邱奕熙</t>
  </si>
  <si>
    <t>陳思伊</t>
  </si>
  <si>
    <t>黃美琴</t>
  </si>
  <si>
    <t>李緒陽</t>
  </si>
  <si>
    <t>李淑宴</t>
  </si>
  <si>
    <t>劉綉縈</t>
  </si>
  <si>
    <t>吳淑娟</t>
  </si>
  <si>
    <t>賴素卿</t>
  </si>
  <si>
    <t>許碧琪、許佩真、許珉瑄、許韶恩</t>
    <phoneticPr fontId="2" type="noConversion"/>
  </si>
  <si>
    <t>門牌</t>
    <phoneticPr fontId="2" type="noConversion"/>
  </si>
  <si>
    <t>區分所有權人</t>
    <phoneticPr fontId="2" type="noConversion"/>
  </si>
  <si>
    <t>起日</t>
    <phoneticPr fontId="2" type="noConversion"/>
  </si>
  <si>
    <t>迄日</t>
    <phoneticPr fontId="2" type="noConversion"/>
  </si>
  <si>
    <t>管理費備註</t>
    <phoneticPr fontId="2" type="noConversion"/>
  </si>
  <si>
    <t>汽車位</t>
    <phoneticPr fontId="2" type="noConversion"/>
  </si>
  <si>
    <t>機車位</t>
    <phoneticPr fontId="2" type="noConversion"/>
  </si>
  <si>
    <t>A1</t>
    <phoneticPr fontId="2" type="noConversion"/>
  </si>
  <si>
    <t>A2</t>
    <phoneticPr fontId="2" type="noConversion"/>
  </si>
  <si>
    <t>A3</t>
  </si>
  <si>
    <t>A4</t>
  </si>
  <si>
    <t>A5</t>
  </si>
  <si>
    <t>A6</t>
  </si>
  <si>
    <t>A7</t>
  </si>
  <si>
    <t>B2</t>
    <phoneticPr fontId="2" type="noConversion"/>
  </si>
  <si>
    <t>B3</t>
    <phoneticPr fontId="2" type="noConversion"/>
  </si>
  <si>
    <t>B4</t>
  </si>
  <si>
    <t>B5</t>
  </si>
  <si>
    <t>B6</t>
  </si>
  <si>
    <t>B7</t>
  </si>
  <si>
    <t>C1</t>
    <phoneticPr fontId="2" type="noConversion"/>
  </si>
  <si>
    <t>C2</t>
    <phoneticPr fontId="2" type="noConversion"/>
  </si>
  <si>
    <t>C3</t>
  </si>
  <si>
    <t>C4</t>
  </si>
  <si>
    <t>C5</t>
  </si>
  <si>
    <t>C6</t>
  </si>
  <si>
    <t>C7</t>
  </si>
  <si>
    <t>D1</t>
    <phoneticPr fontId="2" type="noConversion"/>
  </si>
  <si>
    <t>D2</t>
    <phoneticPr fontId="2" type="noConversion"/>
  </si>
  <si>
    <t>D3</t>
  </si>
  <si>
    <t>D4</t>
  </si>
  <si>
    <t>D5</t>
  </si>
  <si>
    <t>D6</t>
  </si>
  <si>
    <t>D7</t>
  </si>
  <si>
    <t>E1</t>
    <phoneticPr fontId="2" type="noConversion"/>
  </si>
  <si>
    <t>E2</t>
    <phoneticPr fontId="2" type="noConversion"/>
  </si>
  <si>
    <t>E3</t>
  </si>
  <si>
    <t>E4</t>
  </si>
  <si>
    <t>E5</t>
  </si>
  <si>
    <t>E6</t>
  </si>
  <si>
    <t>E7</t>
  </si>
  <si>
    <t>門牌代號</t>
    <phoneticPr fontId="2" type="noConversion"/>
  </si>
  <si>
    <t>坪數</t>
    <phoneticPr fontId="2" type="noConversion"/>
  </si>
  <si>
    <t>每月管理費</t>
    <phoneticPr fontId="2" type="noConversion"/>
  </si>
  <si>
    <t>基本管理費</t>
    <phoneticPr fontId="2" type="noConversion"/>
  </si>
  <si>
    <t>2016/01/01</t>
    <phoneticPr fontId="2" type="noConversion"/>
  </si>
  <si>
    <t>劉彥宏</t>
    <phoneticPr fontId="2" type="noConversion"/>
  </si>
  <si>
    <t>劉諺璞</t>
    <phoneticPr fontId="2" type="noConversion"/>
  </si>
  <si>
    <t>2027/12/31</t>
    <phoneticPr fontId="2" type="noConversion"/>
  </si>
  <si>
    <t>承租起日</t>
    <phoneticPr fontId="2" type="noConversion"/>
  </si>
  <si>
    <t>承租迄日</t>
    <phoneticPr fontId="2" type="noConversion"/>
  </si>
  <si>
    <t>承租人</t>
    <phoneticPr fontId="2" type="noConversion"/>
  </si>
  <si>
    <t>2022/01/01</t>
    <phoneticPr fontId="2" type="noConversion"/>
  </si>
  <si>
    <t>2021/12/31</t>
    <phoneticPr fontId="2" type="noConversion"/>
  </si>
  <si>
    <t>郭麗貞</t>
    <phoneticPr fontId="2" type="noConversion"/>
  </si>
  <si>
    <t>六福路247巷3號四樓</t>
    <phoneticPr fontId="2" type="noConversion"/>
  </si>
  <si>
    <t>本期管理費</t>
    <phoneticPr fontId="2" type="noConversion"/>
  </si>
  <si>
    <t>要列印</t>
    <phoneticPr fontId="2" type="noConversion"/>
  </si>
  <si>
    <t>應收對象</t>
    <phoneticPr fontId="2" type="noConversion"/>
  </si>
  <si>
    <t>劉諺璞</t>
    <phoneticPr fontId="2" type="noConversion"/>
  </si>
  <si>
    <t>劉彥宏</t>
    <phoneticPr fontId="2" type="noConversion"/>
  </si>
  <si>
    <t>六福路247巷1號三樓</t>
    <phoneticPr fontId="2" type="noConversion"/>
  </si>
  <si>
    <t>許文鍾</t>
    <phoneticPr fontId="2" type="noConversion"/>
  </si>
  <si>
    <t>繳費頻率</t>
    <phoneticPr fontId="2" type="noConversion"/>
  </si>
  <si>
    <t>半年繳</t>
    <phoneticPr fontId="2" type="noConversion"/>
  </si>
  <si>
    <t>年繳</t>
    <phoneticPr fontId="2" type="noConversion"/>
  </si>
  <si>
    <t>月繳</t>
    <phoneticPr fontId="2" type="noConversion"/>
  </si>
  <si>
    <t>2025/12/01</t>
    <phoneticPr fontId="2" type="noConversion"/>
  </si>
  <si>
    <t>六福路247巷1號四樓</t>
    <phoneticPr fontId="2" type="noConversion"/>
  </si>
  <si>
    <t>賴弘國</t>
    <phoneticPr fontId="2" type="noConversion"/>
  </si>
  <si>
    <t>許佩真</t>
    <phoneticPr fontId="2" type="noConversion"/>
  </si>
  <si>
    <t>陳明田</t>
    <phoneticPr fontId="2" type="noConversion"/>
  </si>
  <si>
    <t>何紅</t>
    <phoneticPr fontId="2" type="noConversion"/>
  </si>
  <si>
    <t>參考期數</t>
    <phoneticPr fontId="2" type="noConversion"/>
  </si>
  <si>
    <t>參考應收管理費</t>
    <phoneticPr fontId="2" type="noConversion"/>
  </si>
  <si>
    <t>其它應收款項(僅適用非本期管理費的項目)</t>
    <phoneticPr fontId="2" type="noConversion"/>
  </si>
  <si>
    <t>2025/07/01</t>
  </si>
  <si>
    <t>2025/07/01</t>
    <phoneticPr fontId="2" type="noConversion"/>
  </si>
  <si>
    <t>2025/12/01</t>
  </si>
  <si>
    <t>六福路245號六樓之1</t>
    <phoneticPr fontId="2" type="noConversion"/>
  </si>
  <si>
    <t>V</t>
    <phoneticPr fontId="2" type="noConversion"/>
  </si>
  <si>
    <t>2025/09/01</t>
    <phoneticPr fontId="2" type="noConversion"/>
  </si>
  <si>
    <t>2025/10/01</t>
    <phoneticPr fontId="2" type="noConversion"/>
  </si>
  <si>
    <t>9月管理費及第11期協議償還管理費</t>
    <phoneticPr fontId="2" type="noConversion"/>
  </si>
  <si>
    <t>10月管理費及第12期協議償還管理費</t>
    <phoneticPr fontId="2" type="noConversion"/>
  </si>
  <si>
    <t>2025/11/01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</si>
</sst>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7">
    <font>
      <sz val="12"/>
      <color theme="1"/>
      <name val="新細明體"/>
      <family val="2"/>
      <charset val="136"/>
      <scheme val="minor"/>
    </font>
    <font>
      <sz val="12"/>
      <color theme="1"/>
      <name val="PMingLiu"/>
      <family val="1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PMingLiu"/>
      <family val="1"/>
      <charset val="136"/>
    </font>
    <font>
      <sz val="12"/>
      <color theme="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vertical="center" wrapText="1"/>
    </xf>
    <xf numFmtId="49" fontId="0" fillId="0" borderId="0" xfId="0" applyNumberFormat="1">
      <alignment vertical="center"/>
    </xf>
    <xf numFmtId="0" fontId="1" fillId="0" borderId="2" xfId="0" applyFont="1" applyBorder="1" applyAlignment="1">
      <alignment vertical="center" wrapText="1"/>
    </xf>
    <xf numFmtId="176" fontId="0" fillId="2" borderId="1" xfId="0" applyNumberForma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0" fillId="0" borderId="3" xfId="0" applyBorder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opLeftCell="A22" workbookViewId="0">
      <selection activeCell="L17" sqref="L17"/>
    </sheetView>
  </sheetViews>
  <sheetFormatPr defaultRowHeight="17"/>
  <cols>
    <col min="1" max="1" width="22.90625" customWidth="1"/>
    <col min="2" max="2" width="33.453125" customWidth="1"/>
    <col min="3" max="3" width="9.453125" bestFit="1" customWidth="1"/>
    <col min="4" max="4" width="9.453125" customWidth="1"/>
    <col min="5" max="5" width="11.6328125" bestFit="1" customWidth="1"/>
    <col min="6" max="7" width="7.453125" bestFit="1" customWidth="1"/>
    <col min="8" max="8" width="9.36328125" customWidth="1"/>
    <col min="9" max="9" width="11.6328125" bestFit="1" customWidth="1"/>
  </cols>
  <sheetData>
    <row r="1" spans="1:10">
      <c r="A1" s="1" t="s">
        <v>64</v>
      </c>
      <c r="B1" s="1" t="s">
        <v>65</v>
      </c>
      <c r="C1" s="1" t="s">
        <v>105</v>
      </c>
      <c r="D1" s="1" t="s">
        <v>106</v>
      </c>
      <c r="E1" s="1" t="s">
        <v>108</v>
      </c>
      <c r="F1" s="1" t="s">
        <v>69</v>
      </c>
      <c r="G1" s="1" t="s">
        <v>70</v>
      </c>
      <c r="H1" s="1" t="s">
        <v>127</v>
      </c>
      <c r="I1" s="1" t="s">
        <v>107</v>
      </c>
      <c r="J1" s="15" t="s">
        <v>121</v>
      </c>
    </row>
    <row r="2" spans="1:10">
      <c r="A2" s="4" t="s">
        <v>0</v>
      </c>
      <c r="B2" s="4" t="s">
        <v>34</v>
      </c>
      <c r="C2" s="4" t="s">
        <v>71</v>
      </c>
      <c r="D2" s="4">
        <v>1</v>
      </c>
      <c r="E2" s="6">
        <v>500</v>
      </c>
      <c r="F2" s="5">
        <v>1</v>
      </c>
      <c r="G2" s="6">
        <v>0</v>
      </c>
      <c r="H2" s="6" t="s">
        <v>128</v>
      </c>
      <c r="I2" s="1">
        <f>E2*D2+100*F2+50*G2</f>
        <v>600</v>
      </c>
    </row>
    <row r="3" spans="1:10">
      <c r="A3" s="2" t="s">
        <v>1</v>
      </c>
      <c r="B3" s="2" t="s">
        <v>35</v>
      </c>
      <c r="C3" s="2" t="s">
        <v>72</v>
      </c>
      <c r="D3" s="2">
        <v>1</v>
      </c>
      <c r="E3" s="6">
        <v>500</v>
      </c>
      <c r="F3" s="5">
        <v>0</v>
      </c>
      <c r="G3" s="6">
        <v>0</v>
      </c>
      <c r="H3" s="6" t="s">
        <v>129</v>
      </c>
      <c r="I3" s="1">
        <f t="shared" ref="I3:I35" si="0">E3*D3+100*F3+50*G3</f>
        <v>500</v>
      </c>
    </row>
    <row r="4" spans="1:10">
      <c r="A4" s="2" t="s">
        <v>2</v>
      </c>
      <c r="B4" s="2" t="s">
        <v>36</v>
      </c>
      <c r="C4" s="4" t="s">
        <v>73</v>
      </c>
      <c r="D4" s="4">
        <v>1</v>
      </c>
      <c r="E4" s="6">
        <v>500</v>
      </c>
      <c r="F4" s="5">
        <v>0</v>
      </c>
      <c r="G4" s="6">
        <v>1</v>
      </c>
      <c r="H4" s="6" t="s">
        <v>129</v>
      </c>
      <c r="I4" s="1">
        <f t="shared" si="0"/>
        <v>550</v>
      </c>
    </row>
    <row r="5" spans="1:10">
      <c r="A5" s="2" t="s">
        <v>3</v>
      </c>
      <c r="B5" s="2" t="s">
        <v>37</v>
      </c>
      <c r="C5" s="2" t="s">
        <v>74</v>
      </c>
      <c r="D5" s="2">
        <v>1</v>
      </c>
      <c r="E5" s="6">
        <v>500</v>
      </c>
      <c r="F5" s="5">
        <v>0</v>
      </c>
      <c r="G5" s="6">
        <v>2</v>
      </c>
      <c r="H5" s="6" t="s">
        <v>128</v>
      </c>
      <c r="I5" s="1">
        <f t="shared" si="0"/>
        <v>600</v>
      </c>
    </row>
    <row r="6" spans="1:10">
      <c r="A6" s="2" t="s">
        <v>4</v>
      </c>
      <c r="B6" s="2" t="s">
        <v>63</v>
      </c>
      <c r="C6" s="4" t="s">
        <v>75</v>
      </c>
      <c r="D6" s="4">
        <v>1</v>
      </c>
      <c r="E6" s="6">
        <v>500</v>
      </c>
      <c r="F6" s="5">
        <v>0</v>
      </c>
      <c r="G6" s="6">
        <v>2</v>
      </c>
      <c r="H6" s="6" t="s">
        <v>128</v>
      </c>
      <c r="I6" s="1">
        <f t="shared" si="0"/>
        <v>600</v>
      </c>
    </row>
    <row r="7" spans="1:10">
      <c r="A7" s="2" t="s">
        <v>5</v>
      </c>
      <c r="B7" s="2" t="s">
        <v>38</v>
      </c>
      <c r="C7" s="2" t="s">
        <v>76</v>
      </c>
      <c r="D7" s="2">
        <v>1</v>
      </c>
      <c r="E7" s="6">
        <v>500</v>
      </c>
      <c r="F7" s="5">
        <v>1</v>
      </c>
      <c r="G7" s="6">
        <v>1</v>
      </c>
      <c r="H7" s="6" t="s">
        <v>128</v>
      </c>
      <c r="I7" s="1">
        <f t="shared" si="0"/>
        <v>650</v>
      </c>
    </row>
    <row r="8" spans="1:10">
      <c r="A8" s="2" t="s">
        <v>6</v>
      </c>
      <c r="B8" s="2" t="s">
        <v>39</v>
      </c>
      <c r="C8" s="4" t="s">
        <v>77</v>
      </c>
      <c r="D8" s="4">
        <v>1</v>
      </c>
      <c r="E8" s="6">
        <v>500</v>
      </c>
      <c r="F8" s="5">
        <v>1</v>
      </c>
      <c r="G8" s="6">
        <v>1</v>
      </c>
      <c r="H8" s="6" t="s">
        <v>128</v>
      </c>
      <c r="I8" s="1">
        <f t="shared" si="0"/>
        <v>650</v>
      </c>
    </row>
    <row r="9" spans="1:10">
      <c r="A9" s="2" t="s">
        <v>7</v>
      </c>
      <c r="B9" s="2" t="s">
        <v>40</v>
      </c>
      <c r="C9" s="2" t="s">
        <v>78</v>
      </c>
      <c r="D9" s="2">
        <v>1</v>
      </c>
      <c r="E9" s="6">
        <v>500</v>
      </c>
      <c r="F9" s="5">
        <v>1</v>
      </c>
      <c r="G9" s="6">
        <v>2</v>
      </c>
      <c r="H9" s="6" t="s">
        <v>129</v>
      </c>
      <c r="I9" s="1">
        <f t="shared" si="0"/>
        <v>700</v>
      </c>
    </row>
    <row r="10" spans="1:10">
      <c r="A10" s="2" t="s">
        <v>8</v>
      </c>
      <c r="B10" s="2" t="s">
        <v>133</v>
      </c>
      <c r="C10" s="2" t="s">
        <v>79</v>
      </c>
      <c r="D10" s="4">
        <v>1</v>
      </c>
      <c r="E10" s="6">
        <v>500</v>
      </c>
      <c r="F10" s="5">
        <v>1</v>
      </c>
      <c r="G10" s="6">
        <v>1</v>
      </c>
      <c r="H10" s="6" t="s">
        <v>128</v>
      </c>
      <c r="I10" s="1">
        <f t="shared" si="0"/>
        <v>650</v>
      </c>
    </row>
    <row r="11" spans="1:10">
      <c r="A11" s="2" t="s">
        <v>9</v>
      </c>
      <c r="B11" s="2" t="s">
        <v>41</v>
      </c>
      <c r="C11" s="2" t="s">
        <v>80</v>
      </c>
      <c r="D11" s="2">
        <v>1</v>
      </c>
      <c r="E11" s="6">
        <v>500</v>
      </c>
      <c r="F11" s="5">
        <v>0</v>
      </c>
      <c r="G11" s="6">
        <v>0</v>
      </c>
      <c r="H11" s="6" t="s">
        <v>128</v>
      </c>
      <c r="I11" s="1">
        <f t="shared" si="0"/>
        <v>500</v>
      </c>
    </row>
    <row r="12" spans="1:10">
      <c r="A12" s="2" t="s">
        <v>10</v>
      </c>
      <c r="B12" s="2" t="s">
        <v>42</v>
      </c>
      <c r="C12" s="2" t="s">
        <v>81</v>
      </c>
      <c r="D12" s="4">
        <v>1</v>
      </c>
      <c r="E12" s="6">
        <v>500</v>
      </c>
      <c r="F12" s="5">
        <v>0</v>
      </c>
      <c r="G12" s="6">
        <v>0</v>
      </c>
      <c r="H12" s="6" t="s">
        <v>128</v>
      </c>
      <c r="I12" s="1">
        <f t="shared" si="0"/>
        <v>500</v>
      </c>
    </row>
    <row r="13" spans="1:10">
      <c r="A13" s="2" t="s">
        <v>11</v>
      </c>
      <c r="B13" s="2" t="s">
        <v>43</v>
      </c>
      <c r="C13" s="2" t="s">
        <v>82</v>
      </c>
      <c r="D13" s="2">
        <v>1</v>
      </c>
      <c r="E13" s="6">
        <v>500</v>
      </c>
      <c r="F13" s="7">
        <v>0</v>
      </c>
      <c r="G13" s="6">
        <v>0</v>
      </c>
      <c r="H13" s="6" t="s">
        <v>128</v>
      </c>
      <c r="I13" s="1">
        <f t="shared" si="0"/>
        <v>500</v>
      </c>
    </row>
    <row r="14" spans="1:10">
      <c r="A14" s="2" t="s">
        <v>12</v>
      </c>
      <c r="B14" s="2" t="s">
        <v>44</v>
      </c>
      <c r="C14" s="2" t="s">
        <v>83</v>
      </c>
      <c r="D14" s="4">
        <v>1</v>
      </c>
      <c r="E14" s="6">
        <v>500</v>
      </c>
      <c r="F14" s="5">
        <v>0</v>
      </c>
      <c r="G14" s="6">
        <v>0</v>
      </c>
      <c r="H14" s="6" t="s">
        <v>128</v>
      </c>
      <c r="I14" s="1">
        <f t="shared" si="0"/>
        <v>500</v>
      </c>
    </row>
    <row r="15" spans="1:10">
      <c r="A15" s="2" t="s">
        <v>13</v>
      </c>
      <c r="B15" s="2" t="s">
        <v>126</v>
      </c>
      <c r="C15" s="2" t="s">
        <v>84</v>
      </c>
      <c r="D15" s="2">
        <v>1</v>
      </c>
      <c r="E15" s="6">
        <v>500</v>
      </c>
      <c r="F15" s="5">
        <v>0</v>
      </c>
      <c r="G15" s="6">
        <v>1</v>
      </c>
      <c r="H15" s="6" t="s">
        <v>128</v>
      </c>
      <c r="I15" s="1">
        <f t="shared" si="0"/>
        <v>550</v>
      </c>
    </row>
    <row r="16" spans="1:10">
      <c r="A16" s="2" t="s">
        <v>14</v>
      </c>
      <c r="B16" s="2" t="s">
        <v>45</v>
      </c>
      <c r="C16" s="2" t="s">
        <v>85</v>
      </c>
      <c r="D16" s="4">
        <v>1</v>
      </c>
      <c r="E16" s="6">
        <v>500</v>
      </c>
      <c r="F16" s="5">
        <v>1</v>
      </c>
      <c r="G16" s="6">
        <v>1</v>
      </c>
      <c r="H16" s="6" t="s">
        <v>128</v>
      </c>
      <c r="I16" s="1">
        <f t="shared" si="0"/>
        <v>650</v>
      </c>
    </row>
    <row r="17" spans="1:10">
      <c r="A17" s="2" t="s">
        <v>125</v>
      </c>
      <c r="B17" s="2" t="s">
        <v>46</v>
      </c>
      <c r="C17" s="2" t="s">
        <v>86</v>
      </c>
      <c r="D17" s="2">
        <v>1</v>
      </c>
      <c r="E17" s="6">
        <v>500</v>
      </c>
      <c r="F17" s="5">
        <v>0</v>
      </c>
      <c r="G17" s="6">
        <v>0</v>
      </c>
      <c r="H17" s="6" t="s">
        <v>130</v>
      </c>
      <c r="I17" s="1">
        <f t="shared" si="0"/>
        <v>500</v>
      </c>
      <c r="J17" t="s">
        <v>144</v>
      </c>
    </row>
    <row r="18" spans="1:10">
      <c r="A18" s="2" t="s">
        <v>16</v>
      </c>
      <c r="B18" s="2" t="s">
        <v>47</v>
      </c>
      <c r="C18" s="2" t="s">
        <v>87</v>
      </c>
      <c r="D18" s="4">
        <v>1</v>
      </c>
      <c r="E18" s="6">
        <v>500</v>
      </c>
      <c r="F18" s="5">
        <v>0</v>
      </c>
      <c r="G18" s="6">
        <v>0</v>
      </c>
      <c r="H18" s="6" t="s">
        <v>128</v>
      </c>
      <c r="I18" s="1">
        <f t="shared" si="0"/>
        <v>500</v>
      </c>
    </row>
    <row r="19" spans="1:10">
      <c r="A19" s="2" t="s">
        <v>17</v>
      </c>
      <c r="B19" s="2" t="s">
        <v>48</v>
      </c>
      <c r="C19" s="2" t="s">
        <v>88</v>
      </c>
      <c r="D19" s="2">
        <v>1</v>
      </c>
      <c r="E19" s="6">
        <v>500</v>
      </c>
      <c r="F19" s="5">
        <v>0</v>
      </c>
      <c r="G19" s="6">
        <v>0</v>
      </c>
      <c r="H19" s="6" t="s">
        <v>128</v>
      </c>
      <c r="I19" s="1">
        <f t="shared" si="0"/>
        <v>500</v>
      </c>
    </row>
    <row r="20" spans="1:10">
      <c r="A20" s="2" t="s">
        <v>18</v>
      </c>
      <c r="B20" s="2" t="s">
        <v>49</v>
      </c>
      <c r="C20" s="2" t="s">
        <v>89</v>
      </c>
      <c r="D20" s="4">
        <v>1</v>
      </c>
      <c r="E20" s="6">
        <v>500</v>
      </c>
      <c r="F20" s="8">
        <v>1</v>
      </c>
      <c r="G20" s="6">
        <v>1</v>
      </c>
      <c r="H20" s="6" t="s">
        <v>128</v>
      </c>
      <c r="I20" s="1">
        <f t="shared" si="0"/>
        <v>650</v>
      </c>
    </row>
    <row r="21" spans="1:10">
      <c r="A21" s="2" t="s">
        <v>19</v>
      </c>
      <c r="B21" s="2" t="s">
        <v>50</v>
      </c>
      <c r="C21" s="2" t="s">
        <v>90</v>
      </c>
      <c r="D21" s="2">
        <v>1</v>
      </c>
      <c r="E21" s="6">
        <v>500</v>
      </c>
      <c r="F21" s="5">
        <v>1</v>
      </c>
      <c r="G21" s="6">
        <v>1</v>
      </c>
      <c r="H21" s="6" t="s">
        <v>129</v>
      </c>
      <c r="I21" s="1">
        <f t="shared" si="0"/>
        <v>650</v>
      </c>
    </row>
    <row r="22" spans="1:10">
      <c r="A22" s="2" t="s">
        <v>20</v>
      </c>
      <c r="B22" s="2" t="s">
        <v>51</v>
      </c>
      <c r="C22" s="2" t="s">
        <v>91</v>
      </c>
      <c r="D22" s="4">
        <v>1</v>
      </c>
      <c r="E22" s="6">
        <v>500</v>
      </c>
      <c r="F22" s="9">
        <v>0</v>
      </c>
      <c r="G22" s="6">
        <v>0</v>
      </c>
      <c r="H22" s="6" t="s">
        <v>129</v>
      </c>
      <c r="I22" s="1">
        <f t="shared" si="0"/>
        <v>500</v>
      </c>
    </row>
    <row r="23" spans="1:10" ht="34">
      <c r="A23" s="2" t="s">
        <v>21</v>
      </c>
      <c r="B23" s="2" t="s">
        <v>51</v>
      </c>
      <c r="C23" s="2" t="s">
        <v>92</v>
      </c>
      <c r="D23" s="2">
        <v>1</v>
      </c>
      <c r="E23" s="6">
        <v>0</v>
      </c>
      <c r="F23" s="9">
        <v>0</v>
      </c>
      <c r="G23" s="6">
        <v>0</v>
      </c>
      <c r="H23" s="6" t="s">
        <v>129</v>
      </c>
      <c r="I23" s="1">
        <f t="shared" si="0"/>
        <v>0</v>
      </c>
    </row>
    <row r="24" spans="1:10" ht="34">
      <c r="A24" s="2" t="s">
        <v>22</v>
      </c>
      <c r="B24" s="2" t="s">
        <v>52</v>
      </c>
      <c r="C24" s="2" t="s">
        <v>93</v>
      </c>
      <c r="D24" s="4">
        <v>1</v>
      </c>
      <c r="E24" s="6">
        <v>500</v>
      </c>
      <c r="F24" s="5">
        <v>0</v>
      </c>
      <c r="G24" s="6">
        <v>0</v>
      </c>
      <c r="H24" s="6" t="s">
        <v>128</v>
      </c>
      <c r="I24" s="1">
        <f t="shared" si="0"/>
        <v>500</v>
      </c>
    </row>
    <row r="25" spans="1:10" ht="34">
      <c r="A25" s="2" t="s">
        <v>23</v>
      </c>
      <c r="B25" s="2" t="s">
        <v>53</v>
      </c>
      <c r="C25" s="2" t="s">
        <v>94</v>
      </c>
      <c r="D25" s="2">
        <v>1</v>
      </c>
      <c r="E25" s="6">
        <v>500</v>
      </c>
      <c r="F25" s="5">
        <v>0</v>
      </c>
      <c r="G25" s="6">
        <v>0</v>
      </c>
      <c r="H25" s="6" t="s">
        <v>128</v>
      </c>
      <c r="I25" s="1">
        <f t="shared" si="0"/>
        <v>500</v>
      </c>
    </row>
    <row r="26" spans="1:10" ht="34">
      <c r="A26" s="2" t="s">
        <v>24</v>
      </c>
      <c r="B26" s="2" t="s">
        <v>54</v>
      </c>
      <c r="C26" s="2" t="s">
        <v>95</v>
      </c>
      <c r="D26" s="4">
        <v>1</v>
      </c>
      <c r="E26" s="6">
        <v>500</v>
      </c>
      <c r="F26" s="5">
        <v>0</v>
      </c>
      <c r="G26" s="6">
        <v>0</v>
      </c>
      <c r="H26" s="6" t="s">
        <v>128</v>
      </c>
      <c r="I26" s="1">
        <f t="shared" si="0"/>
        <v>500</v>
      </c>
    </row>
    <row r="27" spans="1:10" ht="34">
      <c r="A27" s="2" t="s">
        <v>25</v>
      </c>
      <c r="B27" s="2" t="s">
        <v>55</v>
      </c>
      <c r="C27" s="2" t="s">
        <v>96</v>
      </c>
      <c r="D27" s="2">
        <v>1</v>
      </c>
      <c r="E27" s="6">
        <v>500</v>
      </c>
      <c r="F27" s="5">
        <v>1</v>
      </c>
      <c r="G27" s="6">
        <v>1</v>
      </c>
      <c r="H27" s="6" t="s">
        <v>128</v>
      </c>
      <c r="I27" s="1">
        <f t="shared" si="0"/>
        <v>650</v>
      </c>
    </row>
    <row r="28" spans="1:10" ht="34">
      <c r="A28" s="2" t="s">
        <v>26</v>
      </c>
      <c r="B28" s="2" t="s">
        <v>56</v>
      </c>
      <c r="C28" s="2" t="s">
        <v>97</v>
      </c>
      <c r="D28" s="4">
        <v>1</v>
      </c>
      <c r="E28" s="6">
        <v>500</v>
      </c>
      <c r="F28" s="5">
        <v>0</v>
      </c>
      <c r="G28" s="6">
        <v>0</v>
      </c>
      <c r="H28" s="6" t="s">
        <v>128</v>
      </c>
      <c r="I28" s="1">
        <f t="shared" si="0"/>
        <v>500</v>
      </c>
    </row>
    <row r="29" spans="1:10">
      <c r="A29" s="2" t="s">
        <v>27</v>
      </c>
      <c r="B29" s="2" t="s">
        <v>57</v>
      </c>
      <c r="C29" s="2" t="s">
        <v>98</v>
      </c>
      <c r="D29" s="2">
        <v>1</v>
      </c>
      <c r="E29" s="6">
        <v>500</v>
      </c>
      <c r="F29" s="5">
        <v>0</v>
      </c>
      <c r="G29" s="6">
        <v>0</v>
      </c>
      <c r="H29" s="6" t="s">
        <v>130</v>
      </c>
      <c r="I29" s="1">
        <f t="shared" si="0"/>
        <v>500</v>
      </c>
      <c r="J29" t="s">
        <v>144</v>
      </c>
    </row>
    <row r="30" spans="1:10">
      <c r="A30" s="2" t="s">
        <v>28</v>
      </c>
      <c r="B30" s="2" t="s">
        <v>57</v>
      </c>
      <c r="C30" s="2" t="s">
        <v>99</v>
      </c>
      <c r="D30" s="4">
        <v>1</v>
      </c>
      <c r="E30" s="6">
        <v>500</v>
      </c>
      <c r="F30" s="5">
        <v>0</v>
      </c>
      <c r="G30" s="6">
        <v>0</v>
      </c>
      <c r="H30" s="6" t="s">
        <v>130</v>
      </c>
      <c r="I30" s="1">
        <f t="shared" si="0"/>
        <v>500</v>
      </c>
      <c r="J30" t="s">
        <v>144</v>
      </c>
    </row>
    <row r="31" spans="1:10">
      <c r="A31" s="2" t="s">
        <v>29</v>
      </c>
      <c r="B31" s="2" t="s">
        <v>58</v>
      </c>
      <c r="C31" s="2" t="s">
        <v>100</v>
      </c>
      <c r="D31" s="2">
        <v>1</v>
      </c>
      <c r="E31" s="6">
        <v>500</v>
      </c>
      <c r="F31" s="5">
        <v>1</v>
      </c>
      <c r="G31" s="6">
        <v>0</v>
      </c>
      <c r="H31" s="6" t="s">
        <v>128</v>
      </c>
      <c r="I31" s="1">
        <f t="shared" si="0"/>
        <v>600</v>
      </c>
    </row>
    <row r="32" spans="1:10">
      <c r="A32" s="2" t="s">
        <v>30</v>
      </c>
      <c r="B32" s="2" t="s">
        <v>59</v>
      </c>
      <c r="C32" s="2" t="s">
        <v>101</v>
      </c>
      <c r="D32" s="4">
        <v>1</v>
      </c>
      <c r="E32" s="6">
        <v>500</v>
      </c>
      <c r="F32" s="5">
        <v>0</v>
      </c>
      <c r="G32" s="6">
        <v>0</v>
      </c>
      <c r="H32" s="6" t="s">
        <v>128</v>
      </c>
      <c r="I32" s="1">
        <f t="shared" si="0"/>
        <v>500</v>
      </c>
    </row>
    <row r="33" spans="1:9">
      <c r="A33" s="2" t="s">
        <v>31</v>
      </c>
      <c r="B33" s="2" t="s">
        <v>60</v>
      </c>
      <c r="C33" s="2" t="s">
        <v>102</v>
      </c>
      <c r="D33" s="2">
        <v>1</v>
      </c>
      <c r="E33" s="6">
        <v>500</v>
      </c>
      <c r="F33" s="5">
        <v>1</v>
      </c>
      <c r="G33" s="6">
        <v>2</v>
      </c>
      <c r="H33" s="6" t="s">
        <v>128</v>
      </c>
      <c r="I33" s="1">
        <f t="shared" si="0"/>
        <v>700</v>
      </c>
    </row>
    <row r="34" spans="1:9">
      <c r="A34" s="2" t="s">
        <v>32</v>
      </c>
      <c r="B34" s="2" t="s">
        <v>61</v>
      </c>
      <c r="C34" s="2" t="s">
        <v>103</v>
      </c>
      <c r="D34" s="4">
        <v>1</v>
      </c>
      <c r="E34" s="6">
        <v>500</v>
      </c>
      <c r="F34" s="5">
        <v>1</v>
      </c>
      <c r="G34" s="6">
        <v>1</v>
      </c>
      <c r="H34" s="6" t="s">
        <v>128</v>
      </c>
      <c r="I34" s="1">
        <f t="shared" si="0"/>
        <v>650</v>
      </c>
    </row>
    <row r="35" spans="1:9">
      <c r="A35" s="2" t="s">
        <v>33</v>
      </c>
      <c r="B35" s="2" t="s">
        <v>62</v>
      </c>
      <c r="C35" s="2" t="s">
        <v>104</v>
      </c>
      <c r="D35" s="2">
        <v>1</v>
      </c>
      <c r="E35" s="6">
        <v>500</v>
      </c>
      <c r="F35" s="5">
        <v>0</v>
      </c>
      <c r="G35" s="6">
        <v>0</v>
      </c>
      <c r="H35" s="6" t="s">
        <v>129</v>
      </c>
      <c r="I35" s="1">
        <f t="shared" si="0"/>
        <v>500</v>
      </c>
    </row>
  </sheetData>
  <autoFilter ref="J1:J35" xr:uid="{00000000-0009-0000-0000-000000000000}"/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tabSelected="1" topLeftCell="A7" workbookViewId="0">
      <selection activeCell="G28" sqref="G28"/>
    </sheetView>
  </sheetViews>
  <sheetFormatPr defaultRowHeight="17"/>
  <cols>
    <col min="1" max="2" width="22.90625" customWidth="1"/>
    <col min="3" max="4" width="10.453125" style="3" bestFit="1" customWidth="1"/>
    <col min="7" max="7" width="36.08984375" bestFit="1" customWidth="1"/>
    <col min="8" max="8" width="41.90625" bestFit="1" customWidth="1"/>
    <col min="10" max="10" width="11.6328125" bestFit="1" customWidth="1"/>
  </cols>
  <sheetData>
    <row r="1" spans="1:10">
      <c r="A1" s="1" t="s">
        <v>64</v>
      </c>
      <c r="B1" s="1" t="s">
        <v>122</v>
      </c>
      <c r="C1" s="10" t="s">
        <v>66</v>
      </c>
      <c r="D1" s="10" t="s">
        <v>67</v>
      </c>
      <c r="E1" s="1" t="s">
        <v>69</v>
      </c>
      <c r="F1" s="1" t="s">
        <v>70</v>
      </c>
      <c r="G1" s="1" t="s">
        <v>68</v>
      </c>
      <c r="H1" s="1" t="s">
        <v>139</v>
      </c>
      <c r="I1" s="1" t="s">
        <v>137</v>
      </c>
      <c r="J1" s="1" t="s">
        <v>138</v>
      </c>
    </row>
    <row r="2" spans="1:10">
      <c r="A2" s="2" t="s">
        <v>0</v>
      </c>
      <c r="B2" s="2"/>
      <c r="C2" s="10" t="s">
        <v>141</v>
      </c>
      <c r="D2" s="10" t="s">
        <v>131</v>
      </c>
      <c r="E2" s="5">
        <v>1</v>
      </c>
      <c r="F2" s="11">
        <v>0</v>
      </c>
      <c r="G2" s="1" t="s">
        <v>120</v>
      </c>
      <c r="H2" s="1"/>
      <c r="I2" s="10">
        <f>DATEDIF(C2,D2,"m")+1</f>
        <v>6</v>
      </c>
      <c r="J2" s="6">
        <f>(I2*500)+(I2*E2*100)+(I2*F2*50)</f>
        <v>3600</v>
      </c>
    </row>
    <row r="3" spans="1:10">
      <c r="A3" s="2" t="s">
        <v>1</v>
      </c>
      <c r="B3" s="2"/>
      <c r="C3" s="10" t="s">
        <v>141</v>
      </c>
      <c r="D3" s="10" t="s">
        <v>131</v>
      </c>
      <c r="E3" s="5">
        <v>0</v>
      </c>
      <c r="F3" s="11">
        <v>0</v>
      </c>
      <c r="G3" s="1" t="s">
        <v>120</v>
      </c>
      <c r="H3" s="1"/>
      <c r="I3" s="10">
        <f t="shared" ref="I3:I34" si="0">DATEDIF(C3,D3,"m")+1</f>
        <v>6</v>
      </c>
      <c r="J3" s="6">
        <f t="shared" ref="J3:J34" si="1">(I3*500)+(I3*E3*100)+(I3*F3*50)</f>
        <v>3000</v>
      </c>
    </row>
    <row r="4" spans="1:10">
      <c r="A4" s="2" t="s">
        <v>2</v>
      </c>
      <c r="B4" s="2"/>
      <c r="C4" s="10" t="s">
        <v>141</v>
      </c>
      <c r="D4" s="10" t="s">
        <v>131</v>
      </c>
      <c r="E4" s="5">
        <v>0</v>
      </c>
      <c r="F4" s="11">
        <v>1</v>
      </c>
      <c r="G4" s="1" t="s">
        <v>120</v>
      </c>
      <c r="H4" s="1"/>
      <c r="I4" s="10">
        <f t="shared" si="0"/>
        <v>6</v>
      </c>
      <c r="J4" s="6">
        <f t="shared" si="1"/>
        <v>3300</v>
      </c>
    </row>
    <row r="5" spans="1:10">
      <c r="A5" s="2" t="s">
        <v>3</v>
      </c>
      <c r="B5" s="2"/>
      <c r="C5" s="10" t="s">
        <v>140</v>
      </c>
      <c r="D5" s="10" t="s">
        <v>142</v>
      </c>
      <c r="E5" s="5">
        <v>0</v>
      </c>
      <c r="F5" s="11">
        <v>2</v>
      </c>
      <c r="G5" s="1" t="s">
        <v>120</v>
      </c>
      <c r="H5" s="1"/>
      <c r="I5" s="10">
        <f t="shared" si="0"/>
        <v>6</v>
      </c>
      <c r="J5" s="6">
        <f t="shared" si="1"/>
        <v>3600</v>
      </c>
    </row>
    <row r="6" spans="1:10">
      <c r="A6" s="2" t="s">
        <v>4</v>
      </c>
      <c r="B6" s="2" t="s">
        <v>134</v>
      </c>
      <c r="C6" s="10" t="s">
        <v>140</v>
      </c>
      <c r="D6" s="10" t="s">
        <v>142</v>
      </c>
      <c r="E6" s="5">
        <v>0</v>
      </c>
      <c r="F6" s="11">
        <v>2</v>
      </c>
      <c r="G6" s="1" t="s">
        <v>120</v>
      </c>
      <c r="H6" s="1"/>
      <c r="I6" s="10">
        <f t="shared" si="0"/>
        <v>6</v>
      </c>
      <c r="J6" s="6">
        <f t="shared" si="1"/>
        <v>3600</v>
      </c>
    </row>
    <row r="7" spans="1:10">
      <c r="A7" s="2" t="s">
        <v>143</v>
      </c>
      <c r="B7" s="2"/>
      <c r="C7" s="10" t="s">
        <v>140</v>
      </c>
      <c r="D7" s="10" t="s">
        <v>142</v>
      </c>
      <c r="E7" s="5">
        <v>1</v>
      </c>
      <c r="F7" s="11">
        <v>1</v>
      </c>
      <c r="G7" s="1" t="s">
        <v>120</v>
      </c>
      <c r="H7" s="1"/>
      <c r="I7" s="10">
        <f t="shared" si="0"/>
        <v>6</v>
      </c>
      <c r="J7" s="6">
        <f t="shared" si="1"/>
        <v>3900</v>
      </c>
    </row>
    <row r="8" spans="1:10">
      <c r="A8" s="2" t="s">
        <v>6</v>
      </c>
      <c r="B8" s="2"/>
      <c r="C8" s="10" t="s">
        <v>140</v>
      </c>
      <c r="D8" s="10" t="s">
        <v>142</v>
      </c>
      <c r="E8" s="5">
        <v>1</v>
      </c>
      <c r="F8" s="11">
        <v>1</v>
      </c>
      <c r="G8" s="1" t="s">
        <v>120</v>
      </c>
      <c r="H8" s="1"/>
      <c r="I8" s="10">
        <f t="shared" si="0"/>
        <v>6</v>
      </c>
      <c r="J8" s="6">
        <f t="shared" si="1"/>
        <v>3900</v>
      </c>
    </row>
    <row r="9" spans="1:10">
      <c r="A9" s="2" t="s">
        <v>7</v>
      </c>
      <c r="B9" s="2"/>
      <c r="C9" s="10" t="s">
        <v>140</v>
      </c>
      <c r="D9" s="10" t="s">
        <v>142</v>
      </c>
      <c r="E9" s="5">
        <v>1</v>
      </c>
      <c r="F9" s="11">
        <v>2</v>
      </c>
      <c r="G9" s="1" t="s">
        <v>120</v>
      </c>
      <c r="H9" s="1"/>
      <c r="I9" s="10">
        <f t="shared" si="0"/>
        <v>6</v>
      </c>
      <c r="J9" s="6">
        <f t="shared" si="1"/>
        <v>4200</v>
      </c>
    </row>
    <row r="10" spans="1:10">
      <c r="A10" s="2" t="s">
        <v>8</v>
      </c>
      <c r="B10" s="2"/>
      <c r="C10" s="10" t="s">
        <v>140</v>
      </c>
      <c r="D10" s="10" t="s">
        <v>142</v>
      </c>
      <c r="E10" s="5">
        <v>1</v>
      </c>
      <c r="F10" s="11">
        <v>1</v>
      </c>
      <c r="G10" s="1" t="s">
        <v>120</v>
      </c>
      <c r="H10" s="1"/>
      <c r="I10" s="10">
        <f t="shared" si="0"/>
        <v>6</v>
      </c>
      <c r="J10" s="6">
        <f t="shared" si="1"/>
        <v>3900</v>
      </c>
    </row>
    <row r="11" spans="1:10">
      <c r="A11" s="2" t="s">
        <v>9</v>
      </c>
      <c r="B11" s="2"/>
      <c r="C11" s="10" t="s">
        <v>140</v>
      </c>
      <c r="D11" s="10" t="s">
        <v>142</v>
      </c>
      <c r="E11" s="5">
        <v>0</v>
      </c>
      <c r="F11" s="11">
        <v>0</v>
      </c>
      <c r="G11" s="1" t="s">
        <v>120</v>
      </c>
      <c r="H11" s="1"/>
      <c r="I11" s="10">
        <f t="shared" si="0"/>
        <v>6</v>
      </c>
      <c r="J11" s="6">
        <f t="shared" si="1"/>
        <v>3000</v>
      </c>
    </row>
    <row r="12" spans="1:10">
      <c r="A12" s="2" t="s">
        <v>10</v>
      </c>
      <c r="B12" s="2"/>
      <c r="C12" s="10" t="s">
        <v>140</v>
      </c>
      <c r="D12" s="10" t="s">
        <v>142</v>
      </c>
      <c r="E12" s="5">
        <v>0</v>
      </c>
      <c r="F12" s="11">
        <v>0</v>
      </c>
      <c r="G12" s="1" t="s">
        <v>120</v>
      </c>
      <c r="H12" s="1"/>
      <c r="I12" s="10">
        <f t="shared" si="0"/>
        <v>6</v>
      </c>
      <c r="J12" s="6">
        <f t="shared" si="1"/>
        <v>3000</v>
      </c>
    </row>
    <row r="13" spans="1:10">
      <c r="A13" s="2" t="s">
        <v>11</v>
      </c>
      <c r="B13" s="2"/>
      <c r="C13" s="10" t="s">
        <v>140</v>
      </c>
      <c r="D13" s="10" t="s">
        <v>142</v>
      </c>
      <c r="E13" s="7">
        <v>0</v>
      </c>
      <c r="F13" s="11">
        <v>0</v>
      </c>
      <c r="G13" s="1" t="s">
        <v>120</v>
      </c>
      <c r="H13" s="1"/>
      <c r="I13" s="10">
        <f t="shared" si="0"/>
        <v>6</v>
      </c>
      <c r="J13" s="6">
        <f t="shared" si="1"/>
        <v>3000</v>
      </c>
    </row>
    <row r="14" spans="1:10">
      <c r="A14" s="2" t="s">
        <v>12</v>
      </c>
      <c r="B14" s="2"/>
      <c r="C14" s="10" t="s">
        <v>140</v>
      </c>
      <c r="D14" s="10" t="s">
        <v>142</v>
      </c>
      <c r="E14" s="5">
        <v>0</v>
      </c>
      <c r="F14" s="11">
        <v>0</v>
      </c>
      <c r="G14" s="1" t="s">
        <v>120</v>
      </c>
      <c r="H14" s="1"/>
      <c r="I14" s="10">
        <f t="shared" si="0"/>
        <v>6</v>
      </c>
      <c r="J14" s="6">
        <f t="shared" si="1"/>
        <v>3000</v>
      </c>
    </row>
    <row r="15" spans="1:10">
      <c r="A15" s="2" t="s">
        <v>13</v>
      </c>
      <c r="B15" s="2"/>
      <c r="C15" s="10" t="s">
        <v>140</v>
      </c>
      <c r="D15" s="10" t="s">
        <v>142</v>
      </c>
      <c r="E15" s="5">
        <v>0</v>
      </c>
      <c r="F15" s="11">
        <v>1</v>
      </c>
      <c r="G15" s="1" t="s">
        <v>120</v>
      </c>
      <c r="H15" s="1"/>
      <c r="I15" s="10">
        <f t="shared" si="0"/>
        <v>6</v>
      </c>
      <c r="J15" s="6">
        <f t="shared" si="1"/>
        <v>3300</v>
      </c>
    </row>
    <row r="16" spans="1:10">
      <c r="A16" s="2" t="s">
        <v>14</v>
      </c>
      <c r="B16" s="2"/>
      <c r="C16" s="10" t="s">
        <v>140</v>
      </c>
      <c r="D16" s="10" t="s">
        <v>142</v>
      </c>
      <c r="E16" s="5">
        <v>1</v>
      </c>
      <c r="F16" s="11">
        <v>1</v>
      </c>
      <c r="G16" s="1" t="s">
        <v>120</v>
      </c>
      <c r="H16" s="1"/>
      <c r="I16" s="10">
        <f t="shared" si="0"/>
        <v>6</v>
      </c>
      <c r="J16" s="6">
        <f t="shared" si="1"/>
        <v>3900</v>
      </c>
    </row>
    <row r="17" spans="1:10">
      <c r="A17" s="2" t="s">
        <v>15</v>
      </c>
      <c r="B17" s="2"/>
      <c r="C17" s="10" t="s">
        <v>149</v>
      </c>
      <c r="D17" s="10" t="s">
        <v>149</v>
      </c>
      <c r="E17" s="5">
        <v>0</v>
      </c>
      <c r="F17" s="11">
        <v>0</v>
      </c>
      <c r="G17" s="1" t="s">
        <v>120</v>
      </c>
      <c r="H17" s="1"/>
      <c r="I17" s="10">
        <f t="shared" si="0"/>
        <v>1</v>
      </c>
      <c r="J17" s="6">
        <f t="shared" si="1"/>
        <v>500</v>
      </c>
    </row>
    <row r="18" spans="1:10">
      <c r="A18" s="2" t="s">
        <v>132</v>
      </c>
      <c r="B18" s="2"/>
      <c r="C18" s="10" t="s">
        <v>140</v>
      </c>
      <c r="D18" s="10" t="s">
        <v>142</v>
      </c>
      <c r="E18" s="5">
        <v>0</v>
      </c>
      <c r="F18" s="11">
        <v>0</v>
      </c>
      <c r="G18" s="1" t="s">
        <v>120</v>
      </c>
      <c r="H18" s="1"/>
      <c r="I18" s="10">
        <f t="shared" ref="I18" si="2">DATEDIF(C18,D18,"m")+1</f>
        <v>6</v>
      </c>
      <c r="J18" s="6">
        <f t="shared" ref="J18" si="3">(I18*500)+(I18*E18*100)+(I18*F18*50)</f>
        <v>3000</v>
      </c>
    </row>
    <row r="19" spans="1:10">
      <c r="A19" s="2" t="s">
        <v>17</v>
      </c>
      <c r="B19" s="2"/>
      <c r="C19" s="10" t="s">
        <v>140</v>
      </c>
      <c r="D19" s="10" t="s">
        <v>142</v>
      </c>
      <c r="E19" s="5">
        <v>0</v>
      </c>
      <c r="F19" s="11">
        <v>0</v>
      </c>
      <c r="G19" s="1" t="s">
        <v>120</v>
      </c>
      <c r="H19" s="1"/>
      <c r="I19" s="10">
        <f t="shared" si="0"/>
        <v>6</v>
      </c>
      <c r="J19" s="6">
        <f t="shared" si="1"/>
        <v>3000</v>
      </c>
    </row>
    <row r="20" spans="1:10">
      <c r="A20" s="2" t="s">
        <v>18</v>
      </c>
      <c r="B20" s="2"/>
      <c r="C20" s="10" t="s">
        <v>140</v>
      </c>
      <c r="D20" s="10" t="s">
        <v>142</v>
      </c>
      <c r="E20" s="8">
        <v>1</v>
      </c>
      <c r="F20" s="11">
        <v>1</v>
      </c>
      <c r="G20" s="1" t="s">
        <v>120</v>
      </c>
      <c r="H20" s="1"/>
      <c r="I20" s="10">
        <f t="shared" si="0"/>
        <v>6</v>
      </c>
      <c r="J20" s="6">
        <f t="shared" si="1"/>
        <v>3900</v>
      </c>
    </row>
    <row r="21" spans="1:10">
      <c r="A21" s="2" t="s">
        <v>19</v>
      </c>
      <c r="B21" s="2"/>
      <c r="C21" s="10" t="s">
        <v>140</v>
      </c>
      <c r="D21" s="10" t="s">
        <v>142</v>
      </c>
      <c r="E21" s="5">
        <v>1</v>
      </c>
      <c r="F21" s="11">
        <v>1</v>
      </c>
      <c r="G21" s="1" t="s">
        <v>120</v>
      </c>
      <c r="H21" s="1"/>
      <c r="I21" s="10">
        <f t="shared" si="0"/>
        <v>6</v>
      </c>
      <c r="J21" s="6">
        <f t="shared" si="1"/>
        <v>3900</v>
      </c>
    </row>
    <row r="22" spans="1:10">
      <c r="A22" s="2" t="s">
        <v>20</v>
      </c>
      <c r="B22" s="2"/>
      <c r="C22" s="10" t="s">
        <v>140</v>
      </c>
      <c r="D22" s="10" t="s">
        <v>142</v>
      </c>
      <c r="E22" s="9">
        <v>0</v>
      </c>
      <c r="F22" s="11">
        <v>0</v>
      </c>
      <c r="G22" s="1" t="s">
        <v>120</v>
      </c>
      <c r="H22" s="1"/>
      <c r="I22" s="10">
        <f t="shared" si="0"/>
        <v>6</v>
      </c>
      <c r="J22" s="6">
        <f t="shared" si="1"/>
        <v>3000</v>
      </c>
    </row>
    <row r="23" spans="1:10" ht="34">
      <c r="A23" s="2" t="s">
        <v>22</v>
      </c>
      <c r="B23" s="2"/>
      <c r="C23" s="10" t="s">
        <v>140</v>
      </c>
      <c r="D23" s="10" t="s">
        <v>142</v>
      </c>
      <c r="E23" s="5">
        <v>0</v>
      </c>
      <c r="F23" s="11">
        <v>0</v>
      </c>
      <c r="G23" s="1" t="s">
        <v>120</v>
      </c>
      <c r="H23" s="1"/>
      <c r="I23" s="10">
        <f t="shared" si="0"/>
        <v>6</v>
      </c>
      <c r="J23" s="6">
        <f t="shared" si="1"/>
        <v>3000</v>
      </c>
    </row>
    <row r="24" spans="1:10" ht="34">
      <c r="A24" s="2" t="s">
        <v>23</v>
      </c>
      <c r="B24" s="2"/>
      <c r="C24" s="10" t="s">
        <v>140</v>
      </c>
      <c r="D24" s="10" t="s">
        <v>142</v>
      </c>
      <c r="E24" s="5">
        <v>0</v>
      </c>
      <c r="F24" s="11">
        <v>0</v>
      </c>
      <c r="G24" s="1" t="s">
        <v>120</v>
      </c>
      <c r="H24" s="1"/>
      <c r="I24" s="10">
        <f t="shared" si="0"/>
        <v>6</v>
      </c>
      <c r="J24" s="6">
        <f t="shared" si="1"/>
        <v>3000</v>
      </c>
    </row>
    <row r="25" spans="1:10" ht="34">
      <c r="A25" s="2" t="s">
        <v>24</v>
      </c>
      <c r="B25" s="2"/>
      <c r="C25" s="10" t="s">
        <v>140</v>
      </c>
      <c r="D25" s="10" t="s">
        <v>142</v>
      </c>
      <c r="E25" s="5">
        <v>0</v>
      </c>
      <c r="F25" s="11">
        <v>0</v>
      </c>
      <c r="G25" s="1" t="s">
        <v>120</v>
      </c>
      <c r="H25" s="1"/>
      <c r="I25" s="10">
        <f t="shared" si="0"/>
        <v>6</v>
      </c>
      <c r="J25" s="6">
        <f t="shared" si="1"/>
        <v>3000</v>
      </c>
    </row>
    <row r="26" spans="1:10" ht="34">
      <c r="A26" s="2" t="s">
        <v>25</v>
      </c>
      <c r="B26" s="2"/>
      <c r="C26" s="10" t="s">
        <v>140</v>
      </c>
      <c r="D26" s="10" t="s">
        <v>142</v>
      </c>
      <c r="E26" s="5">
        <v>1</v>
      </c>
      <c r="F26" s="11">
        <v>1</v>
      </c>
      <c r="G26" s="1" t="s">
        <v>120</v>
      </c>
      <c r="H26" s="1"/>
      <c r="I26" s="10">
        <f t="shared" si="0"/>
        <v>6</v>
      </c>
      <c r="J26" s="6">
        <f t="shared" si="1"/>
        <v>3900</v>
      </c>
    </row>
    <row r="27" spans="1:10" ht="34">
      <c r="A27" s="2" t="s">
        <v>26</v>
      </c>
      <c r="B27" s="2"/>
      <c r="C27" s="10" t="s">
        <v>140</v>
      </c>
      <c r="D27" s="10" t="s">
        <v>142</v>
      </c>
      <c r="E27" s="5">
        <v>0</v>
      </c>
      <c r="F27" s="11">
        <v>0</v>
      </c>
      <c r="G27" s="1" t="s">
        <v>120</v>
      </c>
      <c r="H27" s="1"/>
      <c r="I27" s="10">
        <f t="shared" si="0"/>
        <v>6</v>
      </c>
      <c r="J27" s="6">
        <f t="shared" si="1"/>
        <v>3000</v>
      </c>
    </row>
    <row r="28" spans="1:10">
      <c r="A28" s="2" t="s">
        <v>27</v>
      </c>
      <c r="B28" s="2" t="s">
        <v>124</v>
      </c>
      <c r="C28" s="10" t="s">
        <v>149</v>
      </c>
      <c r="D28" s="10" t="s">
        <v>149</v>
      </c>
      <c r="E28" s="11">
        <v>0</v>
      </c>
      <c r="F28" s="11">
        <v>0</v>
      </c>
      <c r="G28" s="1" t="s">
        <v>120</v>
      </c>
      <c r="H28" s="1"/>
      <c r="I28" s="10">
        <f t="shared" ref="I28:I29" si="4">DATEDIF(C28,D28,"m")+1</f>
        <v>1</v>
      </c>
      <c r="J28" s="6">
        <f t="shared" ref="J28:J29" si="5">(I28*500)+(I28*E28*100)+(I28*F28*50)</f>
        <v>500</v>
      </c>
    </row>
    <row r="29" spans="1:10">
      <c r="A29" s="2" t="s">
        <v>28</v>
      </c>
      <c r="B29" s="2" t="s">
        <v>123</v>
      </c>
      <c r="C29" s="10" t="s">
        <v>149</v>
      </c>
      <c r="D29" s="10" t="s">
        <v>149</v>
      </c>
      <c r="E29" s="11">
        <v>0</v>
      </c>
      <c r="F29" s="11">
        <v>0</v>
      </c>
      <c r="G29" s="1" t="s">
        <v>120</v>
      </c>
      <c r="H29" s="1"/>
      <c r="I29" s="10">
        <f t="shared" si="4"/>
        <v>1</v>
      </c>
      <c r="J29" s="6">
        <f t="shared" si="5"/>
        <v>500</v>
      </c>
    </row>
    <row r="30" spans="1:10">
      <c r="A30" s="2" t="s">
        <v>29</v>
      </c>
      <c r="B30" s="2" t="s">
        <v>136</v>
      </c>
      <c r="C30" s="10" t="s">
        <v>140</v>
      </c>
      <c r="D30" s="10" t="s">
        <v>142</v>
      </c>
      <c r="E30" s="5">
        <v>1</v>
      </c>
      <c r="F30" s="11">
        <v>0</v>
      </c>
      <c r="G30" s="1" t="s">
        <v>120</v>
      </c>
      <c r="H30" s="1"/>
      <c r="I30" s="10">
        <f t="shared" si="0"/>
        <v>6</v>
      </c>
      <c r="J30" s="6">
        <f t="shared" si="1"/>
        <v>3600</v>
      </c>
    </row>
    <row r="31" spans="1:10">
      <c r="A31" s="2" t="s">
        <v>119</v>
      </c>
      <c r="B31" s="2"/>
      <c r="C31" s="10" t="s">
        <v>140</v>
      </c>
      <c r="D31" s="10" t="s">
        <v>142</v>
      </c>
      <c r="E31" s="5">
        <v>0</v>
      </c>
      <c r="F31" s="11">
        <v>0</v>
      </c>
      <c r="G31" s="1" t="s">
        <v>120</v>
      </c>
      <c r="H31" s="1"/>
      <c r="I31" s="10">
        <f t="shared" si="0"/>
        <v>6</v>
      </c>
      <c r="J31" s="6">
        <f t="shared" si="1"/>
        <v>3000</v>
      </c>
    </row>
    <row r="32" spans="1:10">
      <c r="A32" s="2" t="s">
        <v>31</v>
      </c>
      <c r="B32" s="2"/>
      <c r="C32" s="10" t="s">
        <v>140</v>
      </c>
      <c r="D32" s="10" t="s">
        <v>142</v>
      </c>
      <c r="E32" s="5">
        <v>1</v>
      </c>
      <c r="F32" s="11">
        <v>2</v>
      </c>
      <c r="G32" s="1" t="s">
        <v>120</v>
      </c>
      <c r="H32" s="1"/>
      <c r="I32" s="10">
        <f t="shared" si="0"/>
        <v>6</v>
      </c>
      <c r="J32" s="6">
        <f t="shared" si="1"/>
        <v>4200</v>
      </c>
    </row>
    <row r="33" spans="1:10">
      <c r="A33" s="2" t="s">
        <v>32</v>
      </c>
      <c r="B33" s="2" t="s">
        <v>135</v>
      </c>
      <c r="C33" s="10" t="s">
        <v>140</v>
      </c>
      <c r="D33" s="10" t="s">
        <v>142</v>
      </c>
      <c r="E33" s="5">
        <v>1</v>
      </c>
      <c r="F33" s="11">
        <v>1</v>
      </c>
      <c r="G33" s="1" t="s">
        <v>120</v>
      </c>
      <c r="H33" s="1"/>
      <c r="I33" s="10">
        <f t="shared" si="0"/>
        <v>6</v>
      </c>
      <c r="J33" s="6">
        <f t="shared" si="1"/>
        <v>3900</v>
      </c>
    </row>
    <row r="34" spans="1:10">
      <c r="A34" s="2" t="s">
        <v>33</v>
      </c>
      <c r="B34" s="2"/>
      <c r="C34" s="10" t="s">
        <v>141</v>
      </c>
      <c r="D34" s="10" t="s">
        <v>142</v>
      </c>
      <c r="E34" s="5">
        <v>0</v>
      </c>
      <c r="F34" s="11">
        <v>0</v>
      </c>
      <c r="G34" s="1" t="s">
        <v>120</v>
      </c>
      <c r="H34" s="1"/>
      <c r="I34" s="10">
        <f t="shared" si="0"/>
        <v>6</v>
      </c>
      <c r="J34" s="6">
        <f t="shared" si="1"/>
        <v>3000</v>
      </c>
    </row>
    <row r="35" spans="1:10">
      <c r="A35" s="2" t="s">
        <v>15</v>
      </c>
      <c r="B35" s="2"/>
      <c r="C35" s="10" t="s">
        <v>145</v>
      </c>
      <c r="D35" s="10" t="s">
        <v>145</v>
      </c>
      <c r="E35" s="5">
        <v>0</v>
      </c>
      <c r="F35" s="11">
        <v>0</v>
      </c>
      <c r="G35" s="1" t="s">
        <v>147</v>
      </c>
      <c r="H35" s="1">
        <v>2250</v>
      </c>
      <c r="I35" s="10">
        <f t="shared" ref="I35" si="6">DATEDIF(C35,D35,"m")+1</f>
        <v>1</v>
      </c>
      <c r="J35" s="6">
        <f t="shared" ref="J35" si="7">(I35*500)+(I35*E35*100)+(I35*F35*50)</f>
        <v>500</v>
      </c>
    </row>
    <row r="36" spans="1:10">
      <c r="A36" s="2" t="s">
        <v>15</v>
      </c>
      <c r="B36" s="2"/>
      <c r="C36" s="10" t="s">
        <v>146</v>
      </c>
      <c r="D36" s="10" t="s">
        <v>146</v>
      </c>
      <c r="E36" s="5">
        <v>0</v>
      </c>
      <c r="F36" s="11">
        <v>0</v>
      </c>
      <c r="G36" s="1" t="s">
        <v>148</v>
      </c>
      <c r="H36" s="1">
        <v>2250</v>
      </c>
      <c r="I36" s="10">
        <f t="shared" ref="I36" si="8">DATEDIF(C36,D36,"m")+1</f>
        <v>1</v>
      </c>
      <c r="J36" s="6">
        <f t="shared" ref="J36" si="9">(I36*500)+(I36*E36*100)+(I36*F36*50)</f>
        <v>500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A18" sqref="A18"/>
    </sheetView>
  </sheetViews>
  <sheetFormatPr defaultRowHeight="17"/>
  <cols>
    <col min="1" max="1" width="54.90625" customWidth="1"/>
    <col min="2" max="3" width="10.453125" style="3" bestFit="1" customWidth="1"/>
  </cols>
  <sheetData>
    <row r="1" spans="1:4">
      <c r="A1" s="1" t="s">
        <v>64</v>
      </c>
      <c r="B1" s="10" t="s">
        <v>113</v>
      </c>
      <c r="C1" s="10" t="s">
        <v>114</v>
      </c>
      <c r="D1" s="1" t="s">
        <v>115</v>
      </c>
    </row>
    <row r="2" spans="1:4">
      <c r="A2" s="12" t="s">
        <v>27</v>
      </c>
      <c r="B2" s="13" t="s">
        <v>109</v>
      </c>
      <c r="C2" s="13" t="s">
        <v>117</v>
      </c>
      <c r="D2" s="14" t="s">
        <v>118</v>
      </c>
    </row>
    <row r="3" spans="1:4">
      <c r="A3" s="12" t="s">
        <v>28</v>
      </c>
      <c r="B3" s="13" t="s">
        <v>109</v>
      </c>
      <c r="C3" s="13" t="s">
        <v>117</v>
      </c>
      <c r="D3" s="14" t="s">
        <v>118</v>
      </c>
    </row>
    <row r="4" spans="1:4">
      <c r="A4" s="12" t="s">
        <v>27</v>
      </c>
      <c r="B4" s="13" t="s">
        <v>116</v>
      </c>
      <c r="C4" s="13" t="s">
        <v>112</v>
      </c>
      <c r="D4" s="14" t="s">
        <v>110</v>
      </c>
    </row>
    <row r="5" spans="1:4">
      <c r="A5" s="12" t="s">
        <v>28</v>
      </c>
      <c r="B5" s="13" t="s">
        <v>116</v>
      </c>
      <c r="C5" s="13" t="s">
        <v>112</v>
      </c>
      <c r="D5" s="14" t="s">
        <v>111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門牌</vt:lpstr>
      <vt:lpstr>應收管理費</vt:lpstr>
      <vt:lpstr>承租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2010070501</dc:creator>
  <cp:lastModifiedBy>官哲寬</cp:lastModifiedBy>
  <dcterms:created xsi:type="dcterms:W3CDTF">2024-10-04T04:52:26Z</dcterms:created>
  <dcterms:modified xsi:type="dcterms:W3CDTF">2025-11-03T10:10:34Z</dcterms:modified>
</cp:coreProperties>
</file>