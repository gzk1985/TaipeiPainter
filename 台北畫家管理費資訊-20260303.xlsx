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em\NEW_SVN\TaipeiPainter\"/>
    </mc:Choice>
  </mc:AlternateContent>
  <xr:revisionPtr revIDLastSave="0" documentId="13_ncr:1_{90BF5DE1-14EA-4F0C-85F2-1017921E2EE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門牌" sheetId="1" r:id="rId1"/>
    <sheet name="應收管理費" sheetId="2" r:id="rId2"/>
    <sheet name="承租" sheetId="5" r:id="rId3"/>
  </sheets>
  <definedNames>
    <definedName name="_xlnm._FilterDatabase" localSheetId="0" hidden="1">門牌!$Q$1:$Q$35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M3" i="1"/>
  <c r="M4" i="1"/>
  <c r="M5" i="1"/>
  <c r="M6" i="1"/>
  <c r="M7" i="1"/>
  <c r="M13" i="1"/>
  <c r="M14" i="1"/>
  <c r="M15" i="1"/>
  <c r="M16" i="1"/>
  <c r="M17" i="1"/>
  <c r="M18" i="1"/>
  <c r="M19" i="1"/>
  <c r="M20" i="1"/>
  <c r="M21" i="1"/>
  <c r="M27" i="1"/>
  <c r="M29" i="1"/>
  <c r="M30" i="1"/>
  <c r="M31" i="1"/>
  <c r="M32" i="1"/>
  <c r="M33" i="1"/>
  <c r="M34" i="1"/>
  <c r="M35" i="1"/>
  <c r="O2" i="1"/>
  <c r="N2" i="1"/>
  <c r="I27" i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M8" i="1" s="1"/>
  <c r="G9" i="1"/>
  <c r="I9" i="1" s="1"/>
  <c r="M9" i="1" s="1"/>
  <c r="G10" i="1"/>
  <c r="I10" i="1" s="1"/>
  <c r="M10" i="1" s="1"/>
  <c r="G11" i="1"/>
  <c r="I11" i="1" s="1"/>
  <c r="M11" i="1" s="1"/>
  <c r="G12" i="1"/>
  <c r="I12" i="1" s="1"/>
  <c r="M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M22" i="1" s="1"/>
  <c r="G23" i="1"/>
  <c r="I23" i="1" s="1"/>
  <c r="M23" i="1" s="1"/>
  <c r="G24" i="1"/>
  <c r="I24" i="1" s="1"/>
  <c r="M24" i="1" s="1"/>
  <c r="G25" i="1"/>
  <c r="I25" i="1" s="1"/>
  <c r="M25" i="1" s="1"/>
  <c r="G26" i="1"/>
  <c r="I26" i="1" s="1"/>
  <c r="M26" i="1" s="1"/>
  <c r="G27" i="1"/>
  <c r="G28" i="1"/>
  <c r="I28" i="1" s="1"/>
  <c r="M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2" i="1"/>
  <c r="I2" i="1" s="1"/>
  <c r="M2" i="1" s="1"/>
</calcChain>
</file>

<file path=xl/sharedStrings.xml><?xml version="1.0" encoding="utf-8"?>
<sst xmlns="http://schemas.openxmlformats.org/spreadsheetml/2006/main" count="591" uniqueCount="209">
  <si>
    <t>六福路245號</t>
  </si>
  <si>
    <t>六福路245號二樓之1</t>
  </si>
  <si>
    <t>六福路245號四樓之1</t>
  </si>
  <si>
    <t>六福路245號五樓之1</t>
  </si>
  <si>
    <t>六福路245號六樓之1</t>
  </si>
  <si>
    <t>六福路245號二樓之2</t>
  </si>
  <si>
    <t>六福路245號三樓之2</t>
  </si>
  <si>
    <t>六福路245號四樓之2</t>
  </si>
  <si>
    <t>六福路245號七樓之2</t>
  </si>
  <si>
    <t>六福路247巷1號</t>
  </si>
  <si>
    <t>六福路247巷1號三樓</t>
  </si>
  <si>
    <t>六福路247巷1號四樓</t>
  </si>
  <si>
    <t>六福路247巷1號五樓</t>
  </si>
  <si>
    <t>六福路247巷1號七樓</t>
  </si>
  <si>
    <t>六福路247巷3之1號四樓</t>
  </si>
  <si>
    <t>六福路247巷3之1號五樓</t>
  </si>
  <si>
    <t>六福路247巷3之1號六樓</t>
  </si>
  <si>
    <t>六福路247巷3號</t>
  </si>
  <si>
    <t>六福路247巷3號二樓</t>
  </si>
  <si>
    <t>六福路247巷3號三樓</t>
  </si>
  <si>
    <t>六福路247巷3號四樓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</si>
  <si>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</si>
  <si>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</si>
  <si>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</si>
  <si>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</si>
  <si>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</si>
  <si>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</si>
  <si>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</si>
  <si>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</si>
  <si>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</si>
  <si>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</si>
  <si>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</si>
  <si>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</si>
  <si>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</si>
  <si>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</si>
  <si>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</si>
  <si>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</si>
  <si>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</si>
  <si>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</si>
  <si>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</si>
  <si>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</si>
  <si>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</si>
  <si>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</si>
  <si>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</si>
  <si>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</si>
  <si>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</si>
  <si>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</si>
  <si>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</si>
  <si>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</si>
  <si>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</si>
  <si>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</si>
  <si>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</si>
  <si>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</si>
  <si>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</si>
  <si>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</si>
  <si>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管理費備註</t>
    <phoneticPr fontId="2" type="noConversion"/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</si>
  <si>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</si>
  <si>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</si>
  <si>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</si>
  <si>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</si>
  <si>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</si>
  <si>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</si>
  <si>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</si>
  <si>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</si>
  <si>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</si>
  <si>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</si>
  <si>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</si>
  <si>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</si>
  <si>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</si>
  <si>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</si>
  <si>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</si>
  <si>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</si>
  <si>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</si>
  <si>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</si>
  <si>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</si>
  <si>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</si>
  <si>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</si>
  <si>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</si>
  <si>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</si>
  <si>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</si>
  <si>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</si>
  <si>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</si>
  <si>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</si>
  <si>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</si>
  <si>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</si>
  <si>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</si>
  <si>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</si>
  <si>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</si>
  <si>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</si>
  <si>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</si>
  <si>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</si>
  <si>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</si>
  <si>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</si>
  <si>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</si>
  <si>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</si>
  <si>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</si>
  <si>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</si>
  <si>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</si>
  <si>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</si>
  <si>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</si>
  <si>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2022/01/01</t>
    <phoneticPr fontId="2" type="noConversion"/>
  </si>
  <si>
    <t>2021/12/31</t>
    <phoneticPr fontId="2" type="noConversion"/>
  </si>
  <si>
    <t>郭麗貞</t>
    <phoneticPr fontId="2" type="noConversion"/>
  </si>
  <si>
    <t>應收對象</t>
    <phoneticPr fontId="2" type="noConversion"/>
  </si>
  <si>
    <t>劉諺璞</t>
    <phoneticPr fontId="2" type="noConversion"/>
  </si>
  <si>
    <t>劉彥宏</t>
    <phoneticPr fontId="2" type="noConversion"/>
  </si>
  <si>
    <t>六福路247巷1號三樓</t>
    <phoneticPr fontId="2" type="noConversion"/>
  </si>
  <si>
    <t>許文鍾</t>
    <phoneticPr fontId="2" type="noConversion"/>
  </si>
  <si>
    <t>2025/12/01</t>
    <phoneticPr fontId="2" type="noConversion"/>
  </si>
  <si>
    <t>賴弘國</t>
    <phoneticPr fontId="2" type="noConversion"/>
  </si>
  <si>
    <t>許佩真</t>
    <phoneticPr fontId="2" type="noConversion"/>
  </si>
  <si>
    <t>陳明田</t>
    <phoneticPr fontId="2" type="noConversion"/>
  </si>
  <si>
    <t>何紅</t>
    <phoneticPr fontId="2" type="noConversion"/>
  </si>
  <si>
    <t>V</t>
    <phoneticPr fontId="2" type="noConversion"/>
  </si>
  <si>
    <t>2025/11/01</t>
    <phoneticPr fontId="2" type="noConversion"/>
  </si>
  <si>
    <t>車位坪數</t>
    <phoneticPr fontId="2" type="noConversion"/>
  </si>
  <si>
    <t>減免</t>
    <phoneticPr fontId="2" type="noConversion"/>
  </si>
  <si>
    <t>管理費</t>
    <phoneticPr fontId="2" type="noConversion"/>
  </si>
  <si>
    <t>六福路247巷3之1號二樓</t>
    <phoneticPr fontId="2" type="noConversion"/>
  </si>
  <si>
    <t>2026/01/01</t>
  </si>
  <si>
    <t>2026/01/01</t>
    <phoneticPr fontId="2" type="noConversion"/>
  </si>
  <si>
    <t>建物坪數</t>
    <phoneticPr fontId="2" type="noConversion"/>
  </si>
  <si>
    <t>管理費坪數</t>
    <phoneticPr fontId="2" type="noConversion"/>
  </si>
  <si>
    <t>V</t>
    <phoneticPr fontId="2" type="noConversion"/>
  </si>
  <si>
    <t>2026/02/01</t>
    <phoneticPr fontId="2" type="noConversion"/>
  </si>
  <si>
    <t>2026/03/01</t>
    <phoneticPr fontId="2" type="noConversion"/>
  </si>
  <si>
    <t>2026/04/01</t>
    <phoneticPr fontId="2" type="noConversion"/>
  </si>
  <si>
    <t>2026/05/01</t>
    <phoneticPr fontId="2" type="noConversion"/>
  </si>
  <si>
    <t>2026/06/01</t>
    <phoneticPr fontId="2" type="noConversion"/>
  </si>
  <si>
    <t>六福路247巷3號二樓</t>
    <phoneticPr fontId="2" type="noConversion"/>
  </si>
  <si>
    <t>應收款項(僅適用非本期管理費的項目)</t>
    <phoneticPr fontId="2" type="noConversion"/>
  </si>
  <si>
    <t>2025年11月積欠管理費</t>
    <phoneticPr fontId="2" type="noConversion"/>
  </si>
  <si>
    <t>2025年12月積欠管理費</t>
    <phoneticPr fontId="2" type="noConversion"/>
  </si>
  <si>
    <t>六福路247巷3之1號</t>
    <phoneticPr fontId="2" type="noConversion"/>
  </si>
  <si>
    <t>六福路247巷3之1號</t>
    <phoneticPr fontId="2" type="noConversion"/>
  </si>
  <si>
    <t>已沖銷</t>
    <phoneticPr fontId="2" type="noConversion"/>
  </si>
  <si>
    <t>應收年月</t>
    <phoneticPr fontId="2" type="noConversion"/>
  </si>
  <si>
    <t>每月應收管理費</t>
    <phoneticPr fontId="2" type="noConversion"/>
  </si>
  <si>
    <t>扣除減免後管理費</t>
    <phoneticPr fontId="2" type="noConversion"/>
  </si>
  <si>
    <t>汽車清潔費</t>
    <phoneticPr fontId="2" type="noConversion"/>
  </si>
  <si>
    <t>機車清潔費</t>
    <phoneticPr fontId="2" type="noConversion"/>
  </si>
  <si>
    <t>每坪管理費</t>
    <phoneticPr fontId="2" type="noConversion"/>
  </si>
  <si>
    <t>2025/10/01</t>
    <phoneticPr fontId="2" type="noConversion"/>
  </si>
  <si>
    <t>2025年10月積欠管理費</t>
    <phoneticPr fontId="2" type="noConversion"/>
  </si>
  <si>
    <t>2025/09/01</t>
    <phoneticPr fontId="2" type="noConversion"/>
  </si>
  <si>
    <t>2025年09月積欠管理費</t>
    <phoneticPr fontId="2" type="noConversion"/>
  </si>
  <si>
    <t>協議分20期償還 2015年5月至2024年4月積欠管理費，第11期</t>
    <phoneticPr fontId="2" type="noConversion"/>
  </si>
  <si>
    <t>協議分20期償還 2015年5月至2024年4月積欠管理費，第12期</t>
    <phoneticPr fontId="2" type="noConversion"/>
  </si>
  <si>
    <t>協議分20期償還 2015年5月至2024年4月積欠管理費，第13期</t>
    <phoneticPr fontId="2" type="noConversion"/>
  </si>
  <si>
    <t>協議分20期償還 2015年5月至2024年4月積欠管理費，第14期</t>
    <phoneticPr fontId="2" type="noConversion"/>
  </si>
  <si>
    <t>協議分20期償還 2015年5月至2024年4月積欠管理費，第15期</t>
    <phoneticPr fontId="2" type="noConversion"/>
  </si>
  <si>
    <t>協議分20期償還 2015年5月至2024年4月積欠管理費，第16期</t>
    <phoneticPr fontId="2" type="noConversion"/>
  </si>
  <si>
    <t>協議分20期償還 2015年5月至2024年4月積欠管理費，第17期</t>
    <phoneticPr fontId="2" type="noConversion"/>
  </si>
  <si>
    <t>協議分20期償還 2015年5月至2024年4月積欠管理費，第18期</t>
    <phoneticPr fontId="2" type="noConversion"/>
  </si>
  <si>
    <t>協議分20期償還 2015年5月至2024年4月積欠管理費，第19期</t>
    <phoneticPr fontId="2" type="noConversion"/>
  </si>
  <si>
    <t>協議分20期償還 2015年5月至2024年4月積欠管理費，第20期</t>
    <phoneticPr fontId="2" type="noConversion"/>
  </si>
  <si>
    <t>類型</t>
    <phoneticPr fontId="2" type="noConversion"/>
  </si>
  <si>
    <t>店面</t>
  </si>
  <si>
    <t>店面</t>
    <phoneticPr fontId="2" type="noConversion"/>
  </si>
  <si>
    <t>住家</t>
    <phoneticPr fontId="2" type="noConversion"/>
  </si>
  <si>
    <t>要列+R+Q1:R29</t>
    <phoneticPr fontId="2" type="noConversion"/>
  </si>
  <si>
    <t>六福路247巷3之1號二樓</t>
    <phoneticPr fontId="2" type="noConversion"/>
  </si>
  <si>
    <t>六福路245號三樓之1</t>
    <phoneticPr fontId="2" type="noConversion"/>
  </si>
  <si>
    <t>六福路245號七樓之1</t>
    <phoneticPr fontId="2" type="noConversion"/>
  </si>
  <si>
    <t>六福路245號七樓之1</t>
    <phoneticPr fontId="2" type="noConversion"/>
  </si>
  <si>
    <t>六福路245號四樓之2</t>
    <phoneticPr fontId="2" type="noConversion"/>
  </si>
  <si>
    <t>六福路245號五樓之2</t>
    <phoneticPr fontId="2" type="noConversion"/>
  </si>
  <si>
    <t>六福路245號五樓之2</t>
    <phoneticPr fontId="2" type="noConversion"/>
  </si>
  <si>
    <t>六福路245號六樓之2</t>
    <phoneticPr fontId="2" type="noConversion"/>
  </si>
  <si>
    <t>六福路245號六樓之2</t>
    <phoneticPr fontId="2" type="noConversion"/>
  </si>
  <si>
    <t>六福路247巷1號二樓</t>
    <phoneticPr fontId="2" type="noConversion"/>
  </si>
  <si>
    <t>六福路247巷1號二樓</t>
    <phoneticPr fontId="2" type="noConversion"/>
  </si>
  <si>
    <t>六福路247巷1號六樓</t>
    <phoneticPr fontId="2" type="noConversion"/>
  </si>
  <si>
    <t>六福路247巷1號六樓</t>
    <phoneticPr fontId="2" type="noConversion"/>
  </si>
  <si>
    <t>六福路247巷1號七樓</t>
    <phoneticPr fontId="2" type="noConversion"/>
  </si>
  <si>
    <t>六福路247巷1號七樓</t>
    <phoneticPr fontId="2" type="noConversion"/>
  </si>
  <si>
    <t>六福路247巷3之1號三樓</t>
    <phoneticPr fontId="2" type="noConversion"/>
  </si>
  <si>
    <t>六福路247巷3之1號三樓</t>
    <phoneticPr fontId="2" type="noConversion"/>
  </si>
  <si>
    <t>六福路247巷3之1號七樓</t>
    <phoneticPr fontId="2" type="noConversion"/>
  </si>
  <si>
    <t>六福路247巷3之1號七樓</t>
    <phoneticPr fontId="2" type="noConversion"/>
  </si>
  <si>
    <t>六福路247巷3號五樓</t>
    <phoneticPr fontId="2" type="noConversion"/>
  </si>
  <si>
    <t>六福路247巷3號五樓</t>
    <phoneticPr fontId="2" type="noConversion"/>
  </si>
  <si>
    <t>六福路247巷3號七樓</t>
    <phoneticPr fontId="2" type="noConversion"/>
  </si>
  <si>
    <t>六福路247巷3號七樓</t>
    <phoneticPr fontId="2" type="noConversion"/>
  </si>
  <si>
    <t>2026/07/01</t>
    <phoneticPr fontId="2" type="noConversion"/>
  </si>
  <si>
    <t>2026/08/01</t>
    <phoneticPr fontId="2" type="noConversion"/>
  </si>
  <si>
    <t>2026/09/01</t>
    <phoneticPr fontId="2" type="noConversion"/>
  </si>
  <si>
    <t>2026/10/01</t>
    <phoneticPr fontId="2" type="noConversion"/>
  </si>
  <si>
    <t>2026/11/01</t>
    <phoneticPr fontId="2" type="noConversion"/>
  </si>
  <si>
    <t>2026/12/01</t>
    <phoneticPr fontId="2" type="noConversion"/>
  </si>
  <si>
    <t>2026年1月積欠管理費</t>
    <phoneticPr fontId="2" type="noConversion"/>
  </si>
  <si>
    <t>協議分20期償還 2020年5月至2024年8月積欠管理費，第13期</t>
    <phoneticPr fontId="2" type="noConversion"/>
  </si>
  <si>
    <t>協議分20期償還 2020年5月至2024年8月積欠管理費，第14期</t>
    <phoneticPr fontId="2" type="noConversion"/>
  </si>
  <si>
    <t>協議分20期償還 2020年5月至2024年8月積欠管理費，第15期</t>
    <phoneticPr fontId="2" type="noConversion"/>
  </si>
  <si>
    <t>協議分20期償還 2020年5月至2024年8月積欠管理費，第16期</t>
    <phoneticPr fontId="2" type="noConversion"/>
  </si>
  <si>
    <t>協議分20期償還 2020年5月至2024年8月積欠管理費，第17期</t>
    <phoneticPr fontId="2" type="noConversion"/>
  </si>
  <si>
    <t>協議分20期償還 2020年5月至2024年8月積欠管理費，第18期</t>
    <phoneticPr fontId="2" type="noConversion"/>
  </si>
  <si>
    <t>協議分20期償還 2020年5月至2024年8月積欠管理費，第19期</t>
    <phoneticPr fontId="2" type="noConversion"/>
  </si>
  <si>
    <t>協議分20期償還 2020年5月至2024年8月積欠管理費，第20期</t>
    <phoneticPr fontId="2" type="noConversion"/>
  </si>
  <si>
    <t>2026年2月積欠管理費</t>
    <phoneticPr fontId="2" type="noConversion"/>
  </si>
  <si>
    <t>2026年預繳管理費 4,000元</t>
    <phoneticPr fontId="2" type="noConversion"/>
  </si>
  <si>
    <t>2026年2月預繳管理費 2,500元(累積預繳金額4,000元)</t>
    <phoneticPr fontId="2" type="noConversion"/>
  </si>
  <si>
    <t>2026年1月預繳管理費 1,500元(累積預繳金額1,500元)</t>
    <phoneticPr fontId="2" type="noConversion"/>
  </si>
  <si>
    <t>2026年1月預繳1-3月管理費</t>
    <phoneticPr fontId="2" type="noConversion"/>
  </si>
  <si>
    <t>六福路245號五樓之1</t>
    <phoneticPr fontId="2" type="noConversion"/>
  </si>
  <si>
    <t>2026年2月預繳2-3月管理費</t>
    <phoneticPr fontId="2" type="noConversion"/>
  </si>
  <si>
    <t>2026年1月預繳1-12月管理費</t>
    <phoneticPr fontId="2" type="noConversion"/>
  </si>
  <si>
    <t>2026年1月預繳1-2月管理費</t>
    <phoneticPr fontId="2" type="noConversion"/>
  </si>
  <si>
    <t>2026年1月預繳1-6月管理費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</si>
</sst>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4"/>
      <color theme="1"/>
      <name val="PMingLiu"/>
      <family val="1"/>
    </font>
    <font>
      <sz val="14"/>
      <color theme="1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4"/>
      <color theme="1"/>
      <name val="PMingLiu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49" fontId="0" fillId="0" borderId="1" xfId="0" applyNumberFormat="1" applyBorder="1">
      <alignment vertical="center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176" fontId="5" fillId="0" borderId="1" xfId="0" applyNumberFormat="1" applyFont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4" sqref="A4:XFD4"/>
    </sheetView>
  </sheetViews>
  <sheetFormatPr defaultRowHeight="17"/>
  <cols>
    <col min="1" max="1" width="23.90625" customWidth="1"/>
    <col min="2" max="2" width="35.90625" customWidth="1"/>
    <col min="3" max="3" width="10" customWidth="1"/>
    <col min="4" max="6" width="9.453125" customWidth="1"/>
    <col min="7" max="7" width="12.36328125" bestFit="1" customWidth="1"/>
    <col min="8" max="8" width="11.6328125" hidden="1" customWidth="1"/>
    <col min="9" max="9" width="11.6328125" customWidth="1"/>
    <col min="10" max="11" width="7.453125" bestFit="1" customWidth="1"/>
    <col min="12" max="12" width="7.453125" hidden="1" customWidth="1"/>
    <col min="13" max="13" width="19.453125" hidden="1" customWidth="1"/>
    <col min="14" max="15" width="12.36328125" hidden="1" customWidth="1"/>
    <col min="16" max="16" width="17.08984375" bestFit="1" customWidth="1"/>
    <col min="17" max="17" width="10.08984375" hidden="1" customWidth="1"/>
  </cols>
  <sheetData>
    <row r="1" spans="1:18" ht="22" customHeight="1">
      <c r="A1" s="1" t="s">
        <v>53</v>
      </c>
      <c r="B1" s="1" t="s">
        <v>54</v>
      </c>
      <c r="C1" s="1" t="s">
        <v>103</v>
      </c>
      <c r="D1" s="1" t="s">
        <v>92</v>
      </c>
      <c r="E1" s="1" t="s">
        <v>121</v>
      </c>
      <c r="F1" s="1" t="s">
        <v>115</v>
      </c>
      <c r="G1" s="1" t="s">
        <v>122</v>
      </c>
      <c r="H1" s="1" t="s">
        <v>141</v>
      </c>
      <c r="I1" s="1" t="s">
        <v>117</v>
      </c>
      <c r="J1" s="1" t="s">
        <v>56</v>
      </c>
      <c r="K1" s="1" t="s">
        <v>57</v>
      </c>
      <c r="L1" s="1" t="s">
        <v>116</v>
      </c>
      <c r="M1" s="1" t="s">
        <v>138</v>
      </c>
      <c r="N1" s="1" t="s">
        <v>139</v>
      </c>
      <c r="O1" s="1" t="s">
        <v>140</v>
      </c>
      <c r="P1" s="1" t="s">
        <v>137</v>
      </c>
      <c r="Q1" s="1" t="s">
        <v>160</v>
      </c>
      <c r="R1" s="1" t="s">
        <v>156</v>
      </c>
    </row>
    <row r="2" spans="1:18" ht="22" customHeight="1">
      <c r="A2" s="4" t="s">
        <v>0</v>
      </c>
      <c r="B2" s="4" t="s">
        <v>23</v>
      </c>
      <c r="C2" s="2"/>
      <c r="D2" s="4" t="s">
        <v>58</v>
      </c>
      <c r="E2" s="9">
        <v>78.52</v>
      </c>
      <c r="F2" s="9">
        <v>10.11</v>
      </c>
      <c r="G2" s="9">
        <f>E2-F2</f>
        <v>68.41</v>
      </c>
      <c r="H2" s="10">
        <v>35</v>
      </c>
      <c r="I2" s="10">
        <f>G2*H2</f>
        <v>2394.35</v>
      </c>
      <c r="J2" s="11">
        <v>1</v>
      </c>
      <c r="K2" s="10">
        <v>0</v>
      </c>
      <c r="L2" s="10">
        <v>0.5</v>
      </c>
      <c r="M2" s="12">
        <f>ROUND(I2-(I2*L2),0)</f>
        <v>1197</v>
      </c>
      <c r="N2" s="12">
        <f>200*J2</f>
        <v>200</v>
      </c>
      <c r="O2" s="12">
        <f>100*K2</f>
        <v>0</v>
      </c>
      <c r="P2" s="12">
        <f>M2+N2+O2</f>
        <v>1397</v>
      </c>
      <c r="Q2" s="1" t="s">
        <v>123</v>
      </c>
      <c r="R2" s="1" t="s">
        <v>158</v>
      </c>
    </row>
    <row r="3" spans="1:18" ht="22" customHeight="1">
      <c r="A3" s="2" t="s">
        <v>1</v>
      </c>
      <c r="B3" s="2" t="s">
        <v>24</v>
      </c>
      <c r="C3" s="2"/>
      <c r="D3" s="2" t="s">
        <v>59</v>
      </c>
      <c r="E3" s="13">
        <v>35.29</v>
      </c>
      <c r="F3" s="13"/>
      <c r="G3" s="9">
        <f t="shared" ref="G3:G35" si="0">E3-F3</f>
        <v>35.29</v>
      </c>
      <c r="H3" s="10">
        <v>35</v>
      </c>
      <c r="I3" s="10">
        <f t="shared" ref="I3:I35" si="1">G3*H3</f>
        <v>1235.1499999999999</v>
      </c>
      <c r="J3" s="11">
        <v>0</v>
      </c>
      <c r="K3" s="10">
        <v>0</v>
      </c>
      <c r="L3" s="10">
        <v>0</v>
      </c>
      <c r="M3" s="12">
        <f t="shared" ref="M3:M35" si="2">ROUND(I3-(I3*L3),0)</f>
        <v>1235</v>
      </c>
      <c r="N3" s="12">
        <f t="shared" ref="N3:N35" si="3">200*J3</f>
        <v>0</v>
      </c>
      <c r="O3" s="12">
        <f t="shared" ref="O3:O35" si="4">100*K3</f>
        <v>0</v>
      </c>
      <c r="P3" s="12">
        <f t="shared" ref="P3:P35" si="5">M3+N3+O3</f>
        <v>1235</v>
      </c>
      <c r="Q3" s="1" t="s">
        <v>123</v>
      </c>
      <c r="R3" s="1" t="s">
        <v>159</v>
      </c>
    </row>
    <row r="4" spans="1:18" ht="22" customHeight="1">
      <c r="A4" s="2" t="s">
        <v>162</v>
      </c>
      <c r="B4" s="2" t="s">
        <v>25</v>
      </c>
      <c r="C4" s="2"/>
      <c r="D4" s="4" t="s">
        <v>60</v>
      </c>
      <c r="E4" s="9">
        <v>35.29</v>
      </c>
      <c r="F4" s="9"/>
      <c r="G4" s="9">
        <f t="shared" si="0"/>
        <v>35.29</v>
      </c>
      <c r="H4" s="10">
        <v>35</v>
      </c>
      <c r="I4" s="10">
        <f t="shared" si="1"/>
        <v>1235.1499999999999</v>
      </c>
      <c r="J4" s="11">
        <v>0</v>
      </c>
      <c r="K4" s="10">
        <v>1</v>
      </c>
      <c r="L4" s="10">
        <v>0</v>
      </c>
      <c r="M4" s="12">
        <f t="shared" si="2"/>
        <v>1235</v>
      </c>
      <c r="N4" s="12">
        <f t="shared" si="3"/>
        <v>0</v>
      </c>
      <c r="O4" s="12">
        <f t="shared" si="4"/>
        <v>100</v>
      </c>
      <c r="P4" s="12">
        <f t="shared" si="5"/>
        <v>1335</v>
      </c>
      <c r="Q4" s="1" t="s">
        <v>123</v>
      </c>
      <c r="R4" s="1" t="s">
        <v>159</v>
      </c>
    </row>
    <row r="5" spans="1:18" ht="22" customHeight="1">
      <c r="A5" s="2" t="s">
        <v>2</v>
      </c>
      <c r="B5" s="2" t="s">
        <v>26</v>
      </c>
      <c r="C5" s="2"/>
      <c r="D5" s="2" t="s">
        <v>61</v>
      </c>
      <c r="E5" s="13">
        <v>45.4</v>
      </c>
      <c r="F5" s="13">
        <v>10.11</v>
      </c>
      <c r="G5" s="9">
        <f t="shared" si="0"/>
        <v>35.29</v>
      </c>
      <c r="H5" s="10">
        <v>35</v>
      </c>
      <c r="I5" s="10">
        <f t="shared" si="1"/>
        <v>1235.1499999999999</v>
      </c>
      <c r="J5" s="11">
        <v>0</v>
      </c>
      <c r="K5" s="10">
        <v>2</v>
      </c>
      <c r="L5" s="10">
        <v>0</v>
      </c>
      <c r="M5" s="12">
        <f t="shared" si="2"/>
        <v>1235</v>
      </c>
      <c r="N5" s="12">
        <f t="shared" si="3"/>
        <v>0</v>
      </c>
      <c r="O5" s="12">
        <f t="shared" si="4"/>
        <v>200</v>
      </c>
      <c r="P5" s="12">
        <f t="shared" si="5"/>
        <v>1435</v>
      </c>
      <c r="Q5" s="1" t="s">
        <v>123</v>
      </c>
      <c r="R5" s="1" t="s">
        <v>159</v>
      </c>
    </row>
    <row r="6" spans="1:18" ht="22" customHeight="1">
      <c r="A6" s="2" t="s">
        <v>3</v>
      </c>
      <c r="B6" s="2" t="s">
        <v>52</v>
      </c>
      <c r="C6" s="2" t="s">
        <v>110</v>
      </c>
      <c r="D6" s="4" t="s">
        <v>62</v>
      </c>
      <c r="E6" s="9">
        <v>35.29</v>
      </c>
      <c r="F6" s="9"/>
      <c r="G6" s="9">
        <f t="shared" si="0"/>
        <v>35.29</v>
      </c>
      <c r="H6" s="10">
        <v>35</v>
      </c>
      <c r="I6" s="10">
        <f t="shared" si="1"/>
        <v>1235.1499999999999</v>
      </c>
      <c r="J6" s="11">
        <v>0</v>
      </c>
      <c r="K6" s="10">
        <v>2</v>
      </c>
      <c r="L6" s="10">
        <v>0</v>
      </c>
      <c r="M6" s="12">
        <f t="shared" si="2"/>
        <v>1235</v>
      </c>
      <c r="N6" s="12">
        <f t="shared" si="3"/>
        <v>0</v>
      </c>
      <c r="O6" s="12">
        <f t="shared" si="4"/>
        <v>200</v>
      </c>
      <c r="P6" s="12">
        <f t="shared" si="5"/>
        <v>1435</v>
      </c>
      <c r="Q6" s="1" t="s">
        <v>123</v>
      </c>
      <c r="R6" s="1" t="s">
        <v>159</v>
      </c>
    </row>
    <row r="7" spans="1:18" ht="22" customHeight="1">
      <c r="A7" s="2" t="s">
        <v>4</v>
      </c>
      <c r="B7" s="2" t="s">
        <v>27</v>
      </c>
      <c r="C7" s="2"/>
      <c r="D7" s="2" t="s">
        <v>63</v>
      </c>
      <c r="E7" s="13">
        <v>45.4</v>
      </c>
      <c r="F7" s="13">
        <v>10.11</v>
      </c>
      <c r="G7" s="9">
        <f t="shared" si="0"/>
        <v>35.29</v>
      </c>
      <c r="H7" s="10">
        <v>35</v>
      </c>
      <c r="I7" s="10">
        <f t="shared" si="1"/>
        <v>1235.1499999999999</v>
      </c>
      <c r="J7" s="11">
        <v>1</v>
      </c>
      <c r="K7" s="10">
        <v>1</v>
      </c>
      <c r="L7" s="10">
        <v>0</v>
      </c>
      <c r="M7" s="12">
        <f t="shared" si="2"/>
        <v>1235</v>
      </c>
      <c r="N7" s="12">
        <f t="shared" si="3"/>
        <v>200</v>
      </c>
      <c r="O7" s="12">
        <f t="shared" si="4"/>
        <v>100</v>
      </c>
      <c r="P7" s="12">
        <f t="shared" si="5"/>
        <v>1535</v>
      </c>
      <c r="Q7" s="1" t="s">
        <v>123</v>
      </c>
      <c r="R7" s="1" t="s">
        <v>159</v>
      </c>
    </row>
    <row r="8" spans="1:18" ht="22" customHeight="1">
      <c r="A8" s="2" t="s">
        <v>163</v>
      </c>
      <c r="B8" s="2" t="s">
        <v>28</v>
      </c>
      <c r="C8" s="2"/>
      <c r="D8" s="4" t="s">
        <v>64</v>
      </c>
      <c r="E8" s="9">
        <v>45.4</v>
      </c>
      <c r="F8" s="9">
        <v>10.11</v>
      </c>
      <c r="G8" s="9">
        <f t="shared" si="0"/>
        <v>35.29</v>
      </c>
      <c r="H8" s="10">
        <v>35</v>
      </c>
      <c r="I8" s="10">
        <f t="shared" si="1"/>
        <v>1235.1499999999999</v>
      </c>
      <c r="J8" s="11">
        <v>1</v>
      </c>
      <c r="K8" s="10">
        <v>1</v>
      </c>
      <c r="L8" s="10">
        <v>0</v>
      </c>
      <c r="M8" s="12">
        <f t="shared" si="2"/>
        <v>1235</v>
      </c>
      <c r="N8" s="12">
        <f t="shared" si="3"/>
        <v>200</v>
      </c>
      <c r="O8" s="12">
        <f t="shared" si="4"/>
        <v>100</v>
      </c>
      <c r="P8" s="12">
        <f t="shared" si="5"/>
        <v>1535</v>
      </c>
      <c r="Q8" s="1" t="s">
        <v>123</v>
      </c>
      <c r="R8" s="1" t="s">
        <v>159</v>
      </c>
    </row>
    <row r="9" spans="1:18" ht="22" customHeight="1">
      <c r="A9" s="2" t="s">
        <v>5</v>
      </c>
      <c r="B9" s="2" t="s">
        <v>29</v>
      </c>
      <c r="C9" s="2"/>
      <c r="D9" s="2" t="s">
        <v>65</v>
      </c>
      <c r="E9" s="13">
        <v>45.3</v>
      </c>
      <c r="F9" s="13">
        <v>10.119999999999999</v>
      </c>
      <c r="G9" s="9">
        <f t="shared" si="0"/>
        <v>35.18</v>
      </c>
      <c r="H9" s="10">
        <v>35</v>
      </c>
      <c r="I9" s="10">
        <f t="shared" si="1"/>
        <v>1231.3</v>
      </c>
      <c r="J9" s="11">
        <v>1</v>
      </c>
      <c r="K9" s="10">
        <v>2</v>
      </c>
      <c r="L9" s="10">
        <v>0</v>
      </c>
      <c r="M9" s="12">
        <f t="shared" si="2"/>
        <v>1231</v>
      </c>
      <c r="N9" s="12">
        <f t="shared" si="3"/>
        <v>200</v>
      </c>
      <c r="O9" s="12">
        <f t="shared" si="4"/>
        <v>200</v>
      </c>
      <c r="P9" s="12">
        <f t="shared" si="5"/>
        <v>1631</v>
      </c>
      <c r="Q9" s="1" t="s">
        <v>123</v>
      </c>
      <c r="R9" s="1" t="s">
        <v>159</v>
      </c>
    </row>
    <row r="10" spans="1:18" ht="22" customHeight="1">
      <c r="A10" s="2" t="s">
        <v>6</v>
      </c>
      <c r="B10" s="2" t="s">
        <v>109</v>
      </c>
      <c r="C10" s="2"/>
      <c r="D10" s="2" t="s">
        <v>66</v>
      </c>
      <c r="E10" s="9">
        <v>45.3</v>
      </c>
      <c r="F10" s="9">
        <v>10.119999999999999</v>
      </c>
      <c r="G10" s="9">
        <f t="shared" si="0"/>
        <v>35.18</v>
      </c>
      <c r="H10" s="10">
        <v>35</v>
      </c>
      <c r="I10" s="10">
        <f t="shared" si="1"/>
        <v>1231.3</v>
      </c>
      <c r="J10" s="11">
        <v>1</v>
      </c>
      <c r="K10" s="10">
        <v>1</v>
      </c>
      <c r="L10" s="10">
        <v>0</v>
      </c>
      <c r="M10" s="12">
        <f t="shared" si="2"/>
        <v>1231</v>
      </c>
      <c r="N10" s="12">
        <f t="shared" si="3"/>
        <v>200</v>
      </c>
      <c r="O10" s="12">
        <f t="shared" si="4"/>
        <v>100</v>
      </c>
      <c r="P10" s="12">
        <f t="shared" si="5"/>
        <v>1531</v>
      </c>
      <c r="Q10" s="1" t="s">
        <v>123</v>
      </c>
      <c r="R10" s="1" t="s">
        <v>159</v>
      </c>
    </row>
    <row r="11" spans="1:18" ht="22" customHeight="1">
      <c r="A11" s="2" t="s">
        <v>165</v>
      </c>
      <c r="B11" s="2" t="s">
        <v>30</v>
      </c>
      <c r="C11" s="2"/>
      <c r="D11" s="2" t="s">
        <v>67</v>
      </c>
      <c r="E11" s="13">
        <v>35.18</v>
      </c>
      <c r="F11" s="13"/>
      <c r="G11" s="9">
        <f t="shared" si="0"/>
        <v>35.18</v>
      </c>
      <c r="H11" s="10">
        <v>35</v>
      </c>
      <c r="I11" s="10">
        <f t="shared" si="1"/>
        <v>1231.3</v>
      </c>
      <c r="J11" s="11">
        <v>0</v>
      </c>
      <c r="K11" s="10">
        <v>0</v>
      </c>
      <c r="L11" s="10">
        <v>0</v>
      </c>
      <c r="M11" s="12">
        <f t="shared" si="2"/>
        <v>1231</v>
      </c>
      <c r="N11" s="12">
        <f t="shared" si="3"/>
        <v>0</v>
      </c>
      <c r="O11" s="12">
        <f t="shared" si="4"/>
        <v>0</v>
      </c>
      <c r="P11" s="12">
        <f t="shared" si="5"/>
        <v>1231</v>
      </c>
      <c r="Q11" s="1" t="s">
        <v>123</v>
      </c>
      <c r="R11" s="1" t="s">
        <v>159</v>
      </c>
    </row>
    <row r="12" spans="1:18" ht="22" customHeight="1">
      <c r="A12" s="2" t="s">
        <v>166</v>
      </c>
      <c r="B12" s="2" t="s">
        <v>31</v>
      </c>
      <c r="C12" s="2"/>
      <c r="D12" s="2" t="s">
        <v>68</v>
      </c>
      <c r="E12" s="9">
        <v>35.18</v>
      </c>
      <c r="F12" s="9"/>
      <c r="G12" s="9">
        <f t="shared" si="0"/>
        <v>35.18</v>
      </c>
      <c r="H12" s="10">
        <v>35</v>
      </c>
      <c r="I12" s="10">
        <f t="shared" si="1"/>
        <v>1231.3</v>
      </c>
      <c r="J12" s="11">
        <v>0</v>
      </c>
      <c r="K12" s="10">
        <v>0</v>
      </c>
      <c r="L12" s="10">
        <v>0</v>
      </c>
      <c r="M12" s="12">
        <f t="shared" si="2"/>
        <v>1231</v>
      </c>
      <c r="N12" s="12">
        <f t="shared" si="3"/>
        <v>0</v>
      </c>
      <c r="O12" s="12">
        <f t="shared" si="4"/>
        <v>0</v>
      </c>
      <c r="P12" s="12">
        <f t="shared" si="5"/>
        <v>1231</v>
      </c>
      <c r="Q12" s="1" t="s">
        <v>123</v>
      </c>
      <c r="R12" s="1" t="s">
        <v>159</v>
      </c>
    </row>
    <row r="13" spans="1:18" ht="22" customHeight="1">
      <c r="A13" s="2" t="s">
        <v>168</v>
      </c>
      <c r="B13" s="2" t="s">
        <v>32</v>
      </c>
      <c r="C13" s="2"/>
      <c r="D13" s="2" t="s">
        <v>69</v>
      </c>
      <c r="E13" s="13">
        <v>35.18</v>
      </c>
      <c r="F13" s="13"/>
      <c r="G13" s="9">
        <f t="shared" si="0"/>
        <v>35.18</v>
      </c>
      <c r="H13" s="10">
        <v>35</v>
      </c>
      <c r="I13" s="10">
        <f t="shared" si="1"/>
        <v>1231.3</v>
      </c>
      <c r="J13" s="14">
        <v>0</v>
      </c>
      <c r="K13" s="10">
        <v>0</v>
      </c>
      <c r="L13" s="10">
        <v>0</v>
      </c>
      <c r="M13" s="12">
        <f t="shared" si="2"/>
        <v>1231</v>
      </c>
      <c r="N13" s="12">
        <f t="shared" si="3"/>
        <v>0</v>
      </c>
      <c r="O13" s="12">
        <f t="shared" si="4"/>
        <v>0</v>
      </c>
      <c r="P13" s="12">
        <f t="shared" si="5"/>
        <v>1231</v>
      </c>
      <c r="Q13" s="1" t="s">
        <v>123</v>
      </c>
      <c r="R13" s="1" t="s">
        <v>159</v>
      </c>
    </row>
    <row r="14" spans="1:18" ht="22" customHeight="1">
      <c r="A14" s="2" t="s">
        <v>8</v>
      </c>
      <c r="B14" s="2" t="s">
        <v>33</v>
      </c>
      <c r="C14" s="2"/>
      <c r="D14" s="2" t="s">
        <v>70</v>
      </c>
      <c r="E14" s="9">
        <v>35.18</v>
      </c>
      <c r="F14" s="9"/>
      <c r="G14" s="9">
        <f t="shared" si="0"/>
        <v>35.18</v>
      </c>
      <c r="H14" s="10">
        <v>35</v>
      </c>
      <c r="I14" s="10">
        <f t="shared" si="1"/>
        <v>1231.3</v>
      </c>
      <c r="J14" s="11">
        <v>0</v>
      </c>
      <c r="K14" s="10">
        <v>0</v>
      </c>
      <c r="L14" s="10">
        <v>0</v>
      </c>
      <c r="M14" s="12">
        <f t="shared" si="2"/>
        <v>1231</v>
      </c>
      <c r="N14" s="12">
        <f t="shared" si="3"/>
        <v>0</v>
      </c>
      <c r="O14" s="12">
        <f t="shared" si="4"/>
        <v>0</v>
      </c>
      <c r="P14" s="12">
        <f t="shared" si="5"/>
        <v>1231</v>
      </c>
      <c r="Q14" s="1" t="s">
        <v>123</v>
      </c>
      <c r="R14" s="1" t="s">
        <v>159</v>
      </c>
    </row>
    <row r="15" spans="1:18" ht="22" customHeight="1">
      <c r="A15" s="2" t="s">
        <v>9</v>
      </c>
      <c r="B15" s="2" t="s">
        <v>107</v>
      </c>
      <c r="C15" s="2"/>
      <c r="D15" s="2" t="s">
        <v>71</v>
      </c>
      <c r="E15" s="13">
        <v>32.64</v>
      </c>
      <c r="F15" s="13"/>
      <c r="G15" s="9">
        <f t="shared" si="0"/>
        <v>32.64</v>
      </c>
      <c r="H15" s="10">
        <v>35</v>
      </c>
      <c r="I15" s="10">
        <f t="shared" si="1"/>
        <v>1142.4000000000001</v>
      </c>
      <c r="J15" s="11">
        <v>0</v>
      </c>
      <c r="K15" s="10">
        <v>1</v>
      </c>
      <c r="L15" s="10">
        <v>0</v>
      </c>
      <c r="M15" s="12">
        <f t="shared" si="2"/>
        <v>1142</v>
      </c>
      <c r="N15" s="12">
        <f t="shared" si="3"/>
        <v>0</v>
      </c>
      <c r="O15" s="12">
        <f t="shared" si="4"/>
        <v>100</v>
      </c>
      <c r="P15" s="12">
        <f t="shared" si="5"/>
        <v>1242</v>
      </c>
      <c r="Q15" s="1" t="s">
        <v>123</v>
      </c>
      <c r="R15" s="1" t="s">
        <v>159</v>
      </c>
    </row>
    <row r="16" spans="1:18" ht="22" customHeight="1">
      <c r="A16" s="2" t="s">
        <v>170</v>
      </c>
      <c r="B16" s="2" t="s">
        <v>34</v>
      </c>
      <c r="C16" s="2"/>
      <c r="D16" s="2" t="s">
        <v>72</v>
      </c>
      <c r="E16" s="9">
        <v>33.03</v>
      </c>
      <c r="F16" s="9"/>
      <c r="G16" s="9">
        <f t="shared" si="0"/>
        <v>33.03</v>
      </c>
      <c r="H16" s="10">
        <v>35</v>
      </c>
      <c r="I16" s="10">
        <f t="shared" si="1"/>
        <v>1156.05</v>
      </c>
      <c r="J16" s="11">
        <v>1</v>
      </c>
      <c r="K16" s="10">
        <v>1</v>
      </c>
      <c r="L16" s="10">
        <v>0</v>
      </c>
      <c r="M16" s="12">
        <f t="shared" si="2"/>
        <v>1156</v>
      </c>
      <c r="N16" s="12">
        <f t="shared" si="3"/>
        <v>200</v>
      </c>
      <c r="O16" s="12">
        <f t="shared" si="4"/>
        <v>100</v>
      </c>
      <c r="P16" s="12">
        <f t="shared" si="5"/>
        <v>1456</v>
      </c>
      <c r="Q16" s="1" t="s">
        <v>123</v>
      </c>
      <c r="R16" s="1" t="s">
        <v>159</v>
      </c>
    </row>
    <row r="17" spans="1:18" ht="22" customHeight="1">
      <c r="A17" s="2" t="s">
        <v>106</v>
      </c>
      <c r="B17" s="2" t="s">
        <v>35</v>
      </c>
      <c r="C17" s="2"/>
      <c r="D17" s="2" t="s">
        <v>73</v>
      </c>
      <c r="E17" s="13">
        <v>33.03</v>
      </c>
      <c r="F17" s="13"/>
      <c r="G17" s="9">
        <f t="shared" si="0"/>
        <v>33.03</v>
      </c>
      <c r="H17" s="10">
        <v>35</v>
      </c>
      <c r="I17" s="10">
        <f t="shared" si="1"/>
        <v>1156.05</v>
      </c>
      <c r="J17" s="11">
        <v>0</v>
      </c>
      <c r="K17" s="10">
        <v>0</v>
      </c>
      <c r="L17" s="10">
        <v>0</v>
      </c>
      <c r="M17" s="12">
        <f t="shared" si="2"/>
        <v>1156</v>
      </c>
      <c r="N17" s="12">
        <f t="shared" si="3"/>
        <v>0</v>
      </c>
      <c r="O17" s="12">
        <f t="shared" si="4"/>
        <v>0</v>
      </c>
      <c r="P17" s="12">
        <f t="shared" si="5"/>
        <v>1156</v>
      </c>
      <c r="Q17" s="1" t="s">
        <v>113</v>
      </c>
      <c r="R17" s="1" t="s">
        <v>159</v>
      </c>
    </row>
    <row r="18" spans="1:18" ht="22" customHeight="1">
      <c r="A18" s="2" t="s">
        <v>11</v>
      </c>
      <c r="B18" s="2" t="s">
        <v>36</v>
      </c>
      <c r="C18" s="2"/>
      <c r="D18" s="2" t="s">
        <v>74</v>
      </c>
      <c r="E18" s="9">
        <v>33.03</v>
      </c>
      <c r="F18" s="9"/>
      <c r="G18" s="9">
        <f t="shared" si="0"/>
        <v>33.03</v>
      </c>
      <c r="H18" s="10">
        <v>35</v>
      </c>
      <c r="I18" s="10">
        <f t="shared" si="1"/>
        <v>1156.05</v>
      </c>
      <c r="J18" s="11">
        <v>0</v>
      </c>
      <c r="K18" s="10">
        <v>0</v>
      </c>
      <c r="L18" s="10">
        <v>0</v>
      </c>
      <c r="M18" s="12">
        <f t="shared" si="2"/>
        <v>1156</v>
      </c>
      <c r="N18" s="12">
        <f t="shared" si="3"/>
        <v>0</v>
      </c>
      <c r="O18" s="12">
        <f t="shared" si="4"/>
        <v>0</v>
      </c>
      <c r="P18" s="12">
        <f t="shared" si="5"/>
        <v>1156</v>
      </c>
      <c r="Q18" s="1" t="s">
        <v>113</v>
      </c>
      <c r="R18" s="1" t="s">
        <v>159</v>
      </c>
    </row>
    <row r="19" spans="1:18" ht="22" customHeight="1">
      <c r="A19" s="2" t="s">
        <v>12</v>
      </c>
      <c r="B19" s="2" t="s">
        <v>37</v>
      </c>
      <c r="C19" s="2"/>
      <c r="D19" s="2" t="s">
        <v>75</v>
      </c>
      <c r="E19" s="13">
        <v>33.03</v>
      </c>
      <c r="F19" s="13"/>
      <c r="G19" s="9">
        <f t="shared" si="0"/>
        <v>33.03</v>
      </c>
      <c r="H19" s="10">
        <v>35</v>
      </c>
      <c r="I19" s="10">
        <f t="shared" si="1"/>
        <v>1156.05</v>
      </c>
      <c r="J19" s="11">
        <v>0</v>
      </c>
      <c r="K19" s="10">
        <v>0</v>
      </c>
      <c r="L19" s="10">
        <v>0</v>
      </c>
      <c r="M19" s="12">
        <f t="shared" si="2"/>
        <v>1156</v>
      </c>
      <c r="N19" s="12">
        <f t="shared" si="3"/>
        <v>0</v>
      </c>
      <c r="O19" s="12">
        <f t="shared" si="4"/>
        <v>0</v>
      </c>
      <c r="P19" s="12">
        <f t="shared" si="5"/>
        <v>1156</v>
      </c>
      <c r="Q19" s="1" t="s">
        <v>113</v>
      </c>
      <c r="R19" s="1" t="s">
        <v>159</v>
      </c>
    </row>
    <row r="20" spans="1:18" ht="22" customHeight="1">
      <c r="A20" s="2" t="s">
        <v>172</v>
      </c>
      <c r="B20" s="2" t="s">
        <v>38</v>
      </c>
      <c r="C20" s="2"/>
      <c r="D20" s="2" t="s">
        <v>76</v>
      </c>
      <c r="E20" s="9">
        <v>43.12</v>
      </c>
      <c r="F20" s="9">
        <v>10.09</v>
      </c>
      <c r="G20" s="9">
        <f t="shared" si="0"/>
        <v>33.03</v>
      </c>
      <c r="H20" s="10">
        <v>35</v>
      </c>
      <c r="I20" s="10">
        <f t="shared" si="1"/>
        <v>1156.05</v>
      </c>
      <c r="J20" s="15">
        <v>1</v>
      </c>
      <c r="K20" s="10">
        <v>1</v>
      </c>
      <c r="L20" s="10">
        <v>0</v>
      </c>
      <c r="M20" s="12">
        <f t="shared" si="2"/>
        <v>1156</v>
      </c>
      <c r="N20" s="12">
        <f t="shared" si="3"/>
        <v>200</v>
      </c>
      <c r="O20" s="12">
        <f t="shared" si="4"/>
        <v>100</v>
      </c>
      <c r="P20" s="12">
        <f t="shared" si="5"/>
        <v>1456</v>
      </c>
      <c r="Q20" s="1" t="s">
        <v>113</v>
      </c>
      <c r="R20" s="1" t="s">
        <v>159</v>
      </c>
    </row>
    <row r="21" spans="1:18" ht="22" customHeight="1">
      <c r="A21" s="2" t="s">
        <v>174</v>
      </c>
      <c r="B21" s="2" t="s">
        <v>39</v>
      </c>
      <c r="C21" s="2"/>
      <c r="D21" s="2" t="s">
        <v>77</v>
      </c>
      <c r="E21" s="13">
        <v>43.12</v>
      </c>
      <c r="F21" s="13">
        <v>10.09</v>
      </c>
      <c r="G21" s="9">
        <f t="shared" si="0"/>
        <v>33.03</v>
      </c>
      <c r="H21" s="10">
        <v>35</v>
      </c>
      <c r="I21" s="10">
        <f t="shared" si="1"/>
        <v>1156.05</v>
      </c>
      <c r="J21" s="11">
        <v>1</v>
      </c>
      <c r="K21" s="10">
        <v>1</v>
      </c>
      <c r="L21" s="10">
        <v>0</v>
      </c>
      <c r="M21" s="12">
        <f t="shared" si="2"/>
        <v>1156</v>
      </c>
      <c r="N21" s="12">
        <f t="shared" si="3"/>
        <v>200</v>
      </c>
      <c r="O21" s="12">
        <f t="shared" si="4"/>
        <v>100</v>
      </c>
      <c r="P21" s="12">
        <f t="shared" si="5"/>
        <v>1456</v>
      </c>
      <c r="Q21" s="1" t="s">
        <v>113</v>
      </c>
      <c r="R21" s="1" t="s">
        <v>159</v>
      </c>
    </row>
    <row r="22" spans="1:18" ht="22" customHeight="1">
      <c r="A22" s="2" t="s">
        <v>133</v>
      </c>
      <c r="B22" s="2" t="s">
        <v>40</v>
      </c>
      <c r="C22" s="2"/>
      <c r="D22" s="2" t="s">
        <v>78</v>
      </c>
      <c r="E22" s="9">
        <v>27.34</v>
      </c>
      <c r="F22" s="9"/>
      <c r="G22" s="9">
        <f t="shared" si="0"/>
        <v>27.34</v>
      </c>
      <c r="H22" s="10">
        <v>35</v>
      </c>
      <c r="I22" s="10">
        <f t="shared" si="1"/>
        <v>956.9</v>
      </c>
      <c r="J22" s="16">
        <v>0</v>
      </c>
      <c r="K22" s="10">
        <v>0</v>
      </c>
      <c r="L22" s="10">
        <v>0</v>
      </c>
      <c r="M22" s="12">
        <f t="shared" si="2"/>
        <v>957</v>
      </c>
      <c r="N22" s="12">
        <f t="shared" si="3"/>
        <v>0</v>
      </c>
      <c r="O22" s="12">
        <f t="shared" si="4"/>
        <v>0</v>
      </c>
      <c r="P22" s="12">
        <f t="shared" si="5"/>
        <v>957</v>
      </c>
      <c r="Q22" s="1" t="s">
        <v>113</v>
      </c>
      <c r="R22" s="1" t="s">
        <v>159</v>
      </c>
    </row>
    <row r="23" spans="1:18" ht="22" customHeight="1">
      <c r="A23" s="2" t="s">
        <v>161</v>
      </c>
      <c r="B23" s="2" t="s">
        <v>40</v>
      </c>
      <c r="C23" s="2"/>
      <c r="D23" s="2" t="s">
        <v>79</v>
      </c>
      <c r="E23" s="13">
        <v>27.24</v>
      </c>
      <c r="F23" s="13"/>
      <c r="G23" s="9">
        <f t="shared" si="0"/>
        <v>27.24</v>
      </c>
      <c r="H23" s="10">
        <v>35</v>
      </c>
      <c r="I23" s="10">
        <f t="shared" si="1"/>
        <v>953.4</v>
      </c>
      <c r="J23" s="16">
        <v>0</v>
      </c>
      <c r="K23" s="10">
        <v>0</v>
      </c>
      <c r="L23" s="10">
        <v>0</v>
      </c>
      <c r="M23" s="12">
        <f t="shared" si="2"/>
        <v>953</v>
      </c>
      <c r="N23" s="12">
        <f t="shared" si="3"/>
        <v>0</v>
      </c>
      <c r="O23" s="12">
        <f t="shared" si="4"/>
        <v>0</v>
      </c>
      <c r="P23" s="12">
        <f t="shared" si="5"/>
        <v>953</v>
      </c>
      <c r="Q23" s="1" t="s">
        <v>113</v>
      </c>
      <c r="R23" s="1" t="s">
        <v>159</v>
      </c>
    </row>
    <row r="24" spans="1:18" ht="22" customHeight="1">
      <c r="A24" s="2" t="s">
        <v>176</v>
      </c>
      <c r="B24" s="2" t="s">
        <v>41</v>
      </c>
      <c r="C24" s="2"/>
      <c r="D24" s="2" t="s">
        <v>80</v>
      </c>
      <c r="E24" s="9">
        <v>27.24</v>
      </c>
      <c r="F24" s="9"/>
      <c r="G24" s="9">
        <f t="shared" si="0"/>
        <v>27.24</v>
      </c>
      <c r="H24" s="10">
        <v>35</v>
      </c>
      <c r="I24" s="10">
        <f t="shared" si="1"/>
        <v>953.4</v>
      </c>
      <c r="J24" s="11">
        <v>0</v>
      </c>
      <c r="K24" s="10">
        <v>0</v>
      </c>
      <c r="L24" s="10">
        <v>0</v>
      </c>
      <c r="M24" s="12">
        <f t="shared" si="2"/>
        <v>953</v>
      </c>
      <c r="N24" s="12">
        <f t="shared" si="3"/>
        <v>0</v>
      </c>
      <c r="O24" s="12">
        <f t="shared" si="4"/>
        <v>0</v>
      </c>
      <c r="P24" s="12">
        <f t="shared" si="5"/>
        <v>953</v>
      </c>
      <c r="Q24" s="1" t="s">
        <v>113</v>
      </c>
      <c r="R24" s="1" t="s">
        <v>159</v>
      </c>
    </row>
    <row r="25" spans="1:18" ht="22" customHeight="1">
      <c r="A25" s="2" t="s">
        <v>14</v>
      </c>
      <c r="B25" s="2" t="s">
        <v>42</v>
      </c>
      <c r="C25" s="2"/>
      <c r="D25" s="2" t="s">
        <v>81</v>
      </c>
      <c r="E25" s="13">
        <v>27.24</v>
      </c>
      <c r="F25" s="13"/>
      <c r="G25" s="9">
        <f t="shared" si="0"/>
        <v>27.24</v>
      </c>
      <c r="H25" s="10">
        <v>35</v>
      </c>
      <c r="I25" s="10">
        <f t="shared" si="1"/>
        <v>953.4</v>
      </c>
      <c r="J25" s="11">
        <v>0</v>
      </c>
      <c r="K25" s="10">
        <v>0</v>
      </c>
      <c r="L25" s="10">
        <v>0</v>
      </c>
      <c r="M25" s="12">
        <f t="shared" si="2"/>
        <v>953</v>
      </c>
      <c r="N25" s="12">
        <f t="shared" si="3"/>
        <v>0</v>
      </c>
      <c r="O25" s="12">
        <f t="shared" si="4"/>
        <v>0</v>
      </c>
      <c r="P25" s="12">
        <f t="shared" si="5"/>
        <v>953</v>
      </c>
      <c r="Q25" s="1" t="s">
        <v>113</v>
      </c>
      <c r="R25" s="1" t="s">
        <v>159</v>
      </c>
    </row>
    <row r="26" spans="1:18" ht="22" customHeight="1">
      <c r="A26" s="2" t="s">
        <v>15</v>
      </c>
      <c r="B26" s="2" t="s">
        <v>43</v>
      </c>
      <c r="C26" s="2"/>
      <c r="D26" s="2" t="s">
        <v>82</v>
      </c>
      <c r="E26" s="9">
        <v>27.24</v>
      </c>
      <c r="F26" s="9"/>
      <c r="G26" s="9">
        <f t="shared" si="0"/>
        <v>27.24</v>
      </c>
      <c r="H26" s="10">
        <v>35</v>
      </c>
      <c r="I26" s="10">
        <f t="shared" si="1"/>
        <v>953.4</v>
      </c>
      <c r="J26" s="11">
        <v>0</v>
      </c>
      <c r="K26" s="10">
        <v>0</v>
      </c>
      <c r="L26" s="10">
        <v>0</v>
      </c>
      <c r="M26" s="12">
        <f t="shared" si="2"/>
        <v>953</v>
      </c>
      <c r="N26" s="12">
        <f t="shared" si="3"/>
        <v>0</v>
      </c>
      <c r="O26" s="12">
        <f t="shared" si="4"/>
        <v>0</v>
      </c>
      <c r="P26" s="12">
        <f t="shared" si="5"/>
        <v>953</v>
      </c>
      <c r="Q26" s="1" t="s">
        <v>113</v>
      </c>
      <c r="R26" s="1" t="s">
        <v>159</v>
      </c>
    </row>
    <row r="27" spans="1:18" ht="22" customHeight="1">
      <c r="A27" s="2" t="s">
        <v>16</v>
      </c>
      <c r="B27" s="2" t="s">
        <v>44</v>
      </c>
      <c r="C27" s="2"/>
      <c r="D27" s="2" t="s">
        <v>83</v>
      </c>
      <c r="E27" s="13">
        <v>37.35</v>
      </c>
      <c r="F27" s="13">
        <v>10.11</v>
      </c>
      <c r="G27" s="9">
        <f t="shared" si="0"/>
        <v>27.240000000000002</v>
      </c>
      <c r="H27" s="10">
        <v>35</v>
      </c>
      <c r="I27" s="10">
        <f t="shared" si="1"/>
        <v>953.40000000000009</v>
      </c>
      <c r="J27" s="11">
        <v>1</v>
      </c>
      <c r="K27" s="10">
        <v>1</v>
      </c>
      <c r="L27" s="10">
        <v>0</v>
      </c>
      <c r="M27" s="12">
        <f t="shared" si="2"/>
        <v>953</v>
      </c>
      <c r="N27" s="12">
        <f t="shared" si="3"/>
        <v>200</v>
      </c>
      <c r="O27" s="12">
        <f t="shared" si="4"/>
        <v>100</v>
      </c>
      <c r="P27" s="12">
        <f t="shared" si="5"/>
        <v>1253</v>
      </c>
      <c r="Q27" s="1" t="s">
        <v>113</v>
      </c>
      <c r="R27" s="1" t="s">
        <v>159</v>
      </c>
    </row>
    <row r="28" spans="1:18" ht="22" customHeight="1">
      <c r="A28" s="2" t="s">
        <v>178</v>
      </c>
      <c r="B28" s="2" t="s">
        <v>45</v>
      </c>
      <c r="C28" s="2"/>
      <c r="D28" s="2" t="s">
        <v>84</v>
      </c>
      <c r="E28" s="9">
        <v>27.24</v>
      </c>
      <c r="F28" s="9"/>
      <c r="G28" s="9">
        <f t="shared" si="0"/>
        <v>27.24</v>
      </c>
      <c r="H28" s="10">
        <v>35</v>
      </c>
      <c r="I28" s="10">
        <f t="shared" si="1"/>
        <v>953.4</v>
      </c>
      <c r="J28" s="11">
        <v>0</v>
      </c>
      <c r="K28" s="10">
        <v>0</v>
      </c>
      <c r="L28" s="10">
        <v>0</v>
      </c>
      <c r="M28" s="12">
        <f t="shared" si="2"/>
        <v>953</v>
      </c>
      <c r="N28" s="12">
        <f t="shared" si="3"/>
        <v>0</v>
      </c>
      <c r="O28" s="12">
        <f t="shared" si="4"/>
        <v>0</v>
      </c>
      <c r="P28" s="12">
        <f t="shared" si="5"/>
        <v>953</v>
      </c>
      <c r="Q28" s="1" t="s">
        <v>113</v>
      </c>
      <c r="R28" s="1" t="s">
        <v>159</v>
      </c>
    </row>
    <row r="29" spans="1:18" ht="22" customHeight="1">
      <c r="A29" s="2" t="s">
        <v>17</v>
      </c>
      <c r="B29" s="2" t="s">
        <v>46</v>
      </c>
      <c r="C29" s="2" t="s">
        <v>105</v>
      </c>
      <c r="D29" s="2" t="s">
        <v>85</v>
      </c>
      <c r="E29" s="13">
        <v>18.97</v>
      </c>
      <c r="F29" s="13"/>
      <c r="G29" s="9">
        <f t="shared" si="0"/>
        <v>18.97</v>
      </c>
      <c r="H29" s="10">
        <v>35</v>
      </c>
      <c r="I29" s="10">
        <f t="shared" si="1"/>
        <v>663.94999999999993</v>
      </c>
      <c r="J29" s="11">
        <v>0</v>
      </c>
      <c r="K29" s="10">
        <v>0</v>
      </c>
      <c r="L29" s="10">
        <v>0.5</v>
      </c>
      <c r="M29" s="12">
        <f t="shared" si="2"/>
        <v>332</v>
      </c>
      <c r="N29" s="12">
        <f t="shared" si="3"/>
        <v>0</v>
      </c>
      <c r="O29" s="12">
        <f t="shared" si="4"/>
        <v>0</v>
      </c>
      <c r="P29" s="12">
        <f t="shared" si="5"/>
        <v>332</v>
      </c>
      <c r="Q29" s="1" t="s">
        <v>113</v>
      </c>
      <c r="R29" s="1" t="s">
        <v>157</v>
      </c>
    </row>
    <row r="30" spans="1:18" ht="22" customHeight="1">
      <c r="A30" s="2" t="s">
        <v>18</v>
      </c>
      <c r="B30" s="2" t="s">
        <v>46</v>
      </c>
      <c r="C30" s="2" t="s">
        <v>104</v>
      </c>
      <c r="D30" s="2" t="s">
        <v>86</v>
      </c>
      <c r="E30" s="9">
        <v>40.68</v>
      </c>
      <c r="F30" s="9"/>
      <c r="G30" s="9">
        <f t="shared" si="0"/>
        <v>40.68</v>
      </c>
      <c r="H30" s="10">
        <v>35</v>
      </c>
      <c r="I30" s="10">
        <f t="shared" si="1"/>
        <v>1423.8</v>
      </c>
      <c r="J30" s="11">
        <v>0</v>
      </c>
      <c r="K30" s="10">
        <v>0</v>
      </c>
      <c r="L30" s="10">
        <v>0</v>
      </c>
      <c r="M30" s="12">
        <f t="shared" si="2"/>
        <v>1424</v>
      </c>
      <c r="N30" s="12">
        <f t="shared" si="3"/>
        <v>0</v>
      </c>
      <c r="O30" s="12">
        <f t="shared" si="4"/>
        <v>0</v>
      </c>
      <c r="P30" s="12">
        <f t="shared" si="5"/>
        <v>1424</v>
      </c>
      <c r="Q30" s="1" t="s">
        <v>113</v>
      </c>
      <c r="R30" s="1" t="s">
        <v>159</v>
      </c>
    </row>
    <row r="31" spans="1:18" ht="22" customHeight="1">
      <c r="A31" s="2" t="s">
        <v>19</v>
      </c>
      <c r="B31" s="2" t="s">
        <v>47</v>
      </c>
      <c r="C31" s="2" t="s">
        <v>112</v>
      </c>
      <c r="D31" s="2" t="s">
        <v>87</v>
      </c>
      <c r="E31" s="13">
        <v>50.79</v>
      </c>
      <c r="F31" s="13">
        <v>10.11</v>
      </c>
      <c r="G31" s="9">
        <f t="shared" si="0"/>
        <v>40.68</v>
      </c>
      <c r="H31" s="10">
        <v>35</v>
      </c>
      <c r="I31" s="10">
        <f t="shared" si="1"/>
        <v>1423.8</v>
      </c>
      <c r="J31" s="11">
        <v>1</v>
      </c>
      <c r="K31" s="10">
        <v>0</v>
      </c>
      <c r="L31" s="10">
        <v>0</v>
      </c>
      <c r="M31" s="12">
        <f t="shared" si="2"/>
        <v>1424</v>
      </c>
      <c r="N31" s="12">
        <f t="shared" si="3"/>
        <v>200</v>
      </c>
      <c r="O31" s="12">
        <f t="shared" si="4"/>
        <v>0</v>
      </c>
      <c r="P31" s="12">
        <f t="shared" si="5"/>
        <v>1624</v>
      </c>
      <c r="Q31" s="1" t="s">
        <v>113</v>
      </c>
      <c r="R31" s="1" t="s">
        <v>159</v>
      </c>
    </row>
    <row r="32" spans="1:18" ht="22" customHeight="1">
      <c r="A32" s="2" t="s">
        <v>20</v>
      </c>
      <c r="B32" s="2" t="s">
        <v>48</v>
      </c>
      <c r="C32" s="2"/>
      <c r="D32" s="2" t="s">
        <v>88</v>
      </c>
      <c r="E32" s="9">
        <v>40.68</v>
      </c>
      <c r="F32" s="9"/>
      <c r="G32" s="9">
        <f t="shared" si="0"/>
        <v>40.68</v>
      </c>
      <c r="H32" s="10">
        <v>35</v>
      </c>
      <c r="I32" s="10">
        <f t="shared" si="1"/>
        <v>1423.8</v>
      </c>
      <c r="J32" s="11">
        <v>0</v>
      </c>
      <c r="K32" s="10">
        <v>0</v>
      </c>
      <c r="L32" s="10">
        <v>0</v>
      </c>
      <c r="M32" s="12">
        <f t="shared" si="2"/>
        <v>1424</v>
      </c>
      <c r="N32" s="12">
        <f t="shared" si="3"/>
        <v>0</v>
      </c>
      <c r="O32" s="12">
        <f t="shared" si="4"/>
        <v>0</v>
      </c>
      <c r="P32" s="12">
        <f t="shared" si="5"/>
        <v>1424</v>
      </c>
      <c r="Q32" s="1" t="s">
        <v>113</v>
      </c>
      <c r="R32" s="1" t="s">
        <v>159</v>
      </c>
    </row>
    <row r="33" spans="1:18" ht="22" customHeight="1">
      <c r="A33" s="2" t="s">
        <v>180</v>
      </c>
      <c r="B33" s="2" t="s">
        <v>49</v>
      </c>
      <c r="C33" s="2"/>
      <c r="D33" s="2" t="s">
        <v>89</v>
      </c>
      <c r="E33" s="13">
        <v>50.79</v>
      </c>
      <c r="F33" s="13">
        <v>10.11</v>
      </c>
      <c r="G33" s="9">
        <f t="shared" si="0"/>
        <v>40.68</v>
      </c>
      <c r="H33" s="10">
        <v>35</v>
      </c>
      <c r="I33" s="10">
        <f t="shared" si="1"/>
        <v>1423.8</v>
      </c>
      <c r="J33" s="11">
        <v>1</v>
      </c>
      <c r="K33" s="10">
        <v>2</v>
      </c>
      <c r="L33" s="10">
        <v>0</v>
      </c>
      <c r="M33" s="12">
        <f t="shared" si="2"/>
        <v>1424</v>
      </c>
      <c r="N33" s="12">
        <f t="shared" si="3"/>
        <v>200</v>
      </c>
      <c r="O33" s="12">
        <f t="shared" si="4"/>
        <v>200</v>
      </c>
      <c r="P33" s="12">
        <f t="shared" si="5"/>
        <v>1824</v>
      </c>
      <c r="Q33" s="1" t="s">
        <v>113</v>
      </c>
      <c r="R33" s="1" t="s">
        <v>159</v>
      </c>
    </row>
    <row r="34" spans="1:18" ht="22" customHeight="1">
      <c r="A34" s="2" t="s">
        <v>21</v>
      </c>
      <c r="B34" s="2" t="s">
        <v>50</v>
      </c>
      <c r="C34" s="2" t="s">
        <v>111</v>
      </c>
      <c r="D34" s="2" t="s">
        <v>90</v>
      </c>
      <c r="E34" s="9">
        <v>50.79</v>
      </c>
      <c r="F34" s="9">
        <v>10.11</v>
      </c>
      <c r="G34" s="9">
        <f t="shared" si="0"/>
        <v>40.68</v>
      </c>
      <c r="H34" s="10">
        <v>35</v>
      </c>
      <c r="I34" s="10">
        <f t="shared" si="1"/>
        <v>1423.8</v>
      </c>
      <c r="J34" s="11">
        <v>1</v>
      </c>
      <c r="K34" s="10">
        <v>1</v>
      </c>
      <c r="L34" s="10">
        <v>0</v>
      </c>
      <c r="M34" s="12">
        <f t="shared" si="2"/>
        <v>1424</v>
      </c>
      <c r="N34" s="12">
        <f t="shared" si="3"/>
        <v>200</v>
      </c>
      <c r="O34" s="12">
        <f t="shared" si="4"/>
        <v>100</v>
      </c>
      <c r="P34" s="12">
        <f t="shared" si="5"/>
        <v>1724</v>
      </c>
      <c r="Q34" s="1" t="s">
        <v>113</v>
      </c>
      <c r="R34" s="1" t="s">
        <v>159</v>
      </c>
    </row>
    <row r="35" spans="1:18" ht="22" customHeight="1">
      <c r="A35" s="2" t="s">
        <v>182</v>
      </c>
      <c r="B35" s="2" t="s">
        <v>51</v>
      </c>
      <c r="C35" s="2"/>
      <c r="D35" s="2" t="s">
        <v>91</v>
      </c>
      <c r="E35" s="13">
        <v>40.68</v>
      </c>
      <c r="F35" s="13"/>
      <c r="G35" s="9">
        <f t="shared" si="0"/>
        <v>40.68</v>
      </c>
      <c r="H35" s="10">
        <v>35</v>
      </c>
      <c r="I35" s="10">
        <f t="shared" si="1"/>
        <v>1423.8</v>
      </c>
      <c r="J35" s="11">
        <v>0</v>
      </c>
      <c r="K35" s="10">
        <v>0</v>
      </c>
      <c r="L35" s="10">
        <v>0</v>
      </c>
      <c r="M35" s="12">
        <f t="shared" si="2"/>
        <v>1424</v>
      </c>
      <c r="N35" s="12">
        <f t="shared" si="3"/>
        <v>0</v>
      </c>
      <c r="O35" s="12">
        <f t="shared" si="4"/>
        <v>0</v>
      </c>
      <c r="P35" s="12">
        <f t="shared" si="5"/>
        <v>1424</v>
      </c>
      <c r="Q35" s="1" t="s">
        <v>113</v>
      </c>
      <c r="R35" s="1" t="s">
        <v>159</v>
      </c>
    </row>
  </sheetData>
  <autoFilter ref="Q1:Q35" xr:uid="{00000000-0009-0000-0000-000000000000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1"/>
  <sheetViews>
    <sheetView tabSelected="1" workbookViewId="0">
      <selection activeCell="A101" sqref="A101:XFD101"/>
    </sheetView>
  </sheetViews>
  <sheetFormatPr defaultRowHeight="17"/>
  <cols>
    <col min="1" max="1" width="25.7265625" customWidth="1"/>
    <col min="2" max="2" width="10.453125" style="3" bestFit="1" customWidth="1"/>
    <col min="3" max="3" width="65.7265625" bestFit="1" customWidth="1"/>
    <col min="4" max="4" width="44.54296875" bestFit="1" customWidth="1"/>
    <col min="5" max="5" width="8.7265625" style="3"/>
  </cols>
  <sheetData>
    <row r="1" spans="1:5">
      <c r="A1" s="1" t="s">
        <v>53</v>
      </c>
      <c r="B1" s="5" t="s">
        <v>136</v>
      </c>
      <c r="C1" s="1" t="s">
        <v>55</v>
      </c>
      <c r="D1" s="1" t="s">
        <v>130</v>
      </c>
      <c r="E1" s="5" t="s">
        <v>135</v>
      </c>
    </row>
    <row r="2" spans="1:5">
      <c r="A2" s="2" t="s">
        <v>0</v>
      </c>
      <c r="B2" s="5" t="s">
        <v>120</v>
      </c>
      <c r="C2" s="1" t="s">
        <v>208</v>
      </c>
      <c r="D2" s="1">
        <v>-1397</v>
      </c>
      <c r="E2" s="5" t="s">
        <v>113</v>
      </c>
    </row>
    <row r="3" spans="1:5">
      <c r="A3" s="2" t="s">
        <v>0</v>
      </c>
      <c r="B3" s="5" t="s">
        <v>124</v>
      </c>
      <c r="C3" s="1" t="s">
        <v>208</v>
      </c>
      <c r="D3" s="1">
        <v>-1397</v>
      </c>
      <c r="E3" s="5" t="s">
        <v>113</v>
      </c>
    </row>
    <row r="4" spans="1:5">
      <c r="A4" s="2" t="s">
        <v>0</v>
      </c>
      <c r="B4" s="5" t="s">
        <v>125</v>
      </c>
      <c r="C4" s="1" t="s">
        <v>208</v>
      </c>
      <c r="D4" s="1">
        <v>-1397</v>
      </c>
      <c r="E4" s="5"/>
    </row>
    <row r="5" spans="1:5">
      <c r="A5" s="2" t="s">
        <v>0</v>
      </c>
      <c r="B5" s="5" t="s">
        <v>126</v>
      </c>
      <c r="C5" s="1" t="s">
        <v>208</v>
      </c>
      <c r="D5" s="1">
        <v>-1397</v>
      </c>
      <c r="E5" s="5"/>
    </row>
    <row r="6" spans="1:5">
      <c r="A6" s="2" t="s">
        <v>0</v>
      </c>
      <c r="B6" s="5" t="s">
        <v>127</v>
      </c>
      <c r="C6" s="1" t="s">
        <v>208</v>
      </c>
      <c r="D6" s="1">
        <v>-1397</v>
      </c>
      <c r="E6" s="5"/>
    </row>
    <row r="7" spans="1:5">
      <c r="A7" s="2" t="s">
        <v>0</v>
      </c>
      <c r="B7" s="5" t="s">
        <v>128</v>
      </c>
      <c r="C7" s="1" t="s">
        <v>208</v>
      </c>
      <c r="D7" s="1">
        <v>-1397</v>
      </c>
      <c r="E7" s="5"/>
    </row>
    <row r="8" spans="1:5">
      <c r="A8" s="2" t="s">
        <v>162</v>
      </c>
      <c r="B8" s="5" t="s">
        <v>120</v>
      </c>
      <c r="C8" s="1" t="s">
        <v>203</v>
      </c>
      <c r="D8" s="1">
        <v>-1335</v>
      </c>
      <c r="E8" s="5" t="s">
        <v>113</v>
      </c>
    </row>
    <row r="9" spans="1:5">
      <c r="A9" s="2" t="s">
        <v>162</v>
      </c>
      <c r="B9" s="5" t="s">
        <v>124</v>
      </c>
      <c r="C9" s="1" t="s">
        <v>203</v>
      </c>
      <c r="D9" s="1">
        <v>-1335</v>
      </c>
      <c r="E9" s="5" t="s">
        <v>113</v>
      </c>
    </row>
    <row r="10" spans="1:5">
      <c r="A10" s="2" t="s">
        <v>162</v>
      </c>
      <c r="B10" s="5" t="s">
        <v>125</v>
      </c>
      <c r="C10" s="1" t="s">
        <v>203</v>
      </c>
      <c r="D10" s="1">
        <v>-1335</v>
      </c>
      <c r="E10" s="5"/>
    </row>
    <row r="11" spans="1:5">
      <c r="A11" s="2" t="s">
        <v>204</v>
      </c>
      <c r="B11" s="5" t="s">
        <v>124</v>
      </c>
      <c r="C11" s="1" t="s">
        <v>205</v>
      </c>
      <c r="D11" s="1">
        <v>-1435</v>
      </c>
      <c r="E11" s="5" t="s">
        <v>113</v>
      </c>
    </row>
    <row r="12" spans="1:5">
      <c r="A12" s="2" t="s">
        <v>204</v>
      </c>
      <c r="B12" s="5" t="s">
        <v>125</v>
      </c>
      <c r="C12" s="1" t="s">
        <v>205</v>
      </c>
      <c r="D12" s="1">
        <v>-1435</v>
      </c>
      <c r="E12" s="5"/>
    </row>
    <row r="13" spans="1:5">
      <c r="A13" s="2" t="s">
        <v>163</v>
      </c>
      <c r="B13" s="5" t="s">
        <v>120</v>
      </c>
      <c r="C13" s="1" t="s">
        <v>203</v>
      </c>
      <c r="D13" s="1">
        <v>-1535</v>
      </c>
      <c r="E13" s="5" t="s">
        <v>113</v>
      </c>
    </row>
    <row r="14" spans="1:5">
      <c r="A14" s="2" t="s">
        <v>164</v>
      </c>
      <c r="B14" s="5" t="s">
        <v>124</v>
      </c>
      <c r="C14" s="1" t="s">
        <v>203</v>
      </c>
      <c r="D14" s="1">
        <v>-1535</v>
      </c>
      <c r="E14" s="5" t="s">
        <v>113</v>
      </c>
    </row>
    <row r="15" spans="1:5">
      <c r="A15" s="2" t="s">
        <v>164</v>
      </c>
      <c r="B15" s="5" t="s">
        <v>125</v>
      </c>
      <c r="C15" s="1" t="s">
        <v>203</v>
      </c>
      <c r="D15" s="1">
        <v>-1535</v>
      </c>
      <c r="E15" s="5"/>
    </row>
    <row r="16" spans="1:5">
      <c r="A16" s="2" t="s">
        <v>7</v>
      </c>
      <c r="B16" s="5" t="s">
        <v>120</v>
      </c>
      <c r="C16" s="1" t="s">
        <v>200</v>
      </c>
      <c r="D16" s="1">
        <v>-1231</v>
      </c>
      <c r="E16" s="5" t="s">
        <v>113</v>
      </c>
    </row>
    <row r="17" spans="1:5">
      <c r="A17" s="2" t="s">
        <v>7</v>
      </c>
      <c r="B17" s="5" t="s">
        <v>124</v>
      </c>
      <c r="C17" s="1" t="s">
        <v>200</v>
      </c>
      <c r="D17" s="1">
        <v>-1231</v>
      </c>
      <c r="E17" s="5" t="s">
        <v>113</v>
      </c>
    </row>
    <row r="18" spans="1:5">
      <c r="A18" s="2" t="s">
        <v>7</v>
      </c>
      <c r="B18" s="5" t="s">
        <v>125</v>
      </c>
      <c r="C18" s="1" t="s">
        <v>200</v>
      </c>
      <c r="D18" s="1">
        <v>-1231</v>
      </c>
      <c r="E18" s="5"/>
    </row>
    <row r="19" spans="1:5">
      <c r="A19" s="2" t="s">
        <v>7</v>
      </c>
      <c r="B19" s="5" t="s">
        <v>126</v>
      </c>
      <c r="C19" s="1" t="s">
        <v>200</v>
      </c>
      <c r="D19" s="1">
        <v>-307</v>
      </c>
      <c r="E19" s="5"/>
    </row>
    <row r="20" spans="1:5">
      <c r="A20" s="2" t="s">
        <v>166</v>
      </c>
      <c r="B20" s="5" t="s">
        <v>120</v>
      </c>
      <c r="C20" s="1" t="s">
        <v>208</v>
      </c>
      <c r="D20" s="1">
        <v>-1231</v>
      </c>
      <c r="E20" s="5" t="s">
        <v>113</v>
      </c>
    </row>
    <row r="21" spans="1:5">
      <c r="A21" s="2" t="s">
        <v>167</v>
      </c>
      <c r="B21" s="5" t="s">
        <v>124</v>
      </c>
      <c r="C21" s="1" t="s">
        <v>208</v>
      </c>
      <c r="D21" s="1">
        <v>-1231</v>
      </c>
      <c r="E21" s="5" t="s">
        <v>113</v>
      </c>
    </row>
    <row r="22" spans="1:5">
      <c r="A22" s="2" t="s">
        <v>167</v>
      </c>
      <c r="B22" s="5" t="s">
        <v>125</v>
      </c>
      <c r="C22" s="1" t="s">
        <v>208</v>
      </c>
      <c r="D22" s="1">
        <v>-1231</v>
      </c>
      <c r="E22" s="5"/>
    </row>
    <row r="23" spans="1:5">
      <c r="A23" s="2" t="s">
        <v>167</v>
      </c>
      <c r="B23" s="5" t="s">
        <v>126</v>
      </c>
      <c r="C23" s="1" t="s">
        <v>208</v>
      </c>
      <c r="D23" s="1">
        <v>-1231</v>
      </c>
      <c r="E23" s="5"/>
    </row>
    <row r="24" spans="1:5">
      <c r="A24" s="2" t="s">
        <v>167</v>
      </c>
      <c r="B24" s="5" t="s">
        <v>127</v>
      </c>
      <c r="C24" s="1" t="s">
        <v>208</v>
      </c>
      <c r="D24" s="1">
        <v>-1231</v>
      </c>
      <c r="E24" s="5"/>
    </row>
    <row r="25" spans="1:5">
      <c r="A25" s="2" t="s">
        <v>167</v>
      </c>
      <c r="B25" s="5" t="s">
        <v>128</v>
      </c>
      <c r="C25" s="1" t="s">
        <v>208</v>
      </c>
      <c r="D25" s="1">
        <v>-1231</v>
      </c>
      <c r="E25" s="5"/>
    </row>
    <row r="26" spans="1:5">
      <c r="A26" s="2" t="s">
        <v>168</v>
      </c>
      <c r="B26" s="5" t="s">
        <v>120</v>
      </c>
      <c r="C26" s="1" t="s">
        <v>203</v>
      </c>
      <c r="D26" s="1">
        <v>-1231</v>
      </c>
      <c r="E26" s="5" t="s">
        <v>113</v>
      </c>
    </row>
    <row r="27" spans="1:5">
      <c r="A27" s="2" t="s">
        <v>169</v>
      </c>
      <c r="B27" s="5" t="s">
        <v>124</v>
      </c>
      <c r="C27" s="1" t="s">
        <v>203</v>
      </c>
      <c r="D27" s="1">
        <v>-1231</v>
      </c>
      <c r="E27" s="5" t="s">
        <v>113</v>
      </c>
    </row>
    <row r="28" spans="1:5">
      <c r="A28" s="2" t="s">
        <v>169</v>
      </c>
      <c r="B28" s="5" t="s">
        <v>125</v>
      </c>
      <c r="C28" s="1" t="s">
        <v>203</v>
      </c>
      <c r="D28" s="1">
        <v>-1231</v>
      </c>
      <c r="E28" s="5"/>
    </row>
    <row r="29" spans="1:5">
      <c r="A29" s="2" t="s">
        <v>170</v>
      </c>
      <c r="B29" s="5" t="s">
        <v>120</v>
      </c>
      <c r="C29" s="1" t="s">
        <v>208</v>
      </c>
      <c r="D29" s="1">
        <v>-1456</v>
      </c>
      <c r="E29" s="5" t="s">
        <v>113</v>
      </c>
    </row>
    <row r="30" spans="1:5">
      <c r="A30" s="2" t="s">
        <v>171</v>
      </c>
      <c r="B30" s="5" t="s">
        <v>124</v>
      </c>
      <c r="C30" s="1" t="s">
        <v>208</v>
      </c>
      <c r="D30" s="1">
        <v>-1456</v>
      </c>
      <c r="E30" s="5" t="s">
        <v>113</v>
      </c>
    </row>
    <row r="31" spans="1:5">
      <c r="A31" s="2" t="s">
        <v>171</v>
      </c>
      <c r="B31" s="5" t="s">
        <v>125</v>
      </c>
      <c r="C31" s="1" t="s">
        <v>208</v>
      </c>
      <c r="D31" s="1">
        <v>-1456</v>
      </c>
      <c r="E31" s="5"/>
    </row>
    <row r="32" spans="1:5">
      <c r="A32" s="2" t="s">
        <v>171</v>
      </c>
      <c r="B32" s="5" t="s">
        <v>126</v>
      </c>
      <c r="C32" s="1" t="s">
        <v>208</v>
      </c>
      <c r="D32" s="1">
        <v>-1456</v>
      </c>
      <c r="E32" s="5"/>
    </row>
    <row r="33" spans="1:5">
      <c r="A33" s="2" t="s">
        <v>171</v>
      </c>
      <c r="B33" s="5" t="s">
        <v>127</v>
      </c>
      <c r="C33" s="1" t="s">
        <v>208</v>
      </c>
      <c r="D33" s="1">
        <v>-1456</v>
      </c>
      <c r="E33" s="5"/>
    </row>
    <row r="34" spans="1:5">
      <c r="A34" s="2" t="s">
        <v>171</v>
      </c>
      <c r="B34" s="5" t="s">
        <v>128</v>
      </c>
      <c r="C34" s="1" t="s">
        <v>208</v>
      </c>
      <c r="D34" s="1">
        <v>-1456</v>
      </c>
      <c r="E34" s="5"/>
    </row>
    <row r="35" spans="1:5">
      <c r="A35" s="2" t="s">
        <v>10</v>
      </c>
      <c r="B35" s="5" t="s">
        <v>144</v>
      </c>
      <c r="C35" s="1" t="s">
        <v>145</v>
      </c>
      <c r="D35" s="1">
        <v>500</v>
      </c>
      <c r="E35" s="5" t="s">
        <v>113</v>
      </c>
    </row>
    <row r="36" spans="1:5">
      <c r="A36" s="2" t="s">
        <v>10</v>
      </c>
      <c r="B36" s="5" t="s">
        <v>142</v>
      </c>
      <c r="C36" s="1" t="s">
        <v>143</v>
      </c>
      <c r="D36" s="1">
        <v>500</v>
      </c>
      <c r="E36" s="5" t="s">
        <v>113</v>
      </c>
    </row>
    <row r="37" spans="1:5">
      <c r="A37" s="2" t="s">
        <v>10</v>
      </c>
      <c r="B37" s="5" t="s">
        <v>114</v>
      </c>
      <c r="C37" s="1" t="s">
        <v>131</v>
      </c>
      <c r="D37" s="1">
        <v>500</v>
      </c>
      <c r="E37" s="5" t="s">
        <v>113</v>
      </c>
    </row>
    <row r="38" spans="1:5">
      <c r="A38" s="2" t="s">
        <v>10</v>
      </c>
      <c r="B38" s="5" t="s">
        <v>108</v>
      </c>
      <c r="C38" s="1" t="s">
        <v>132</v>
      </c>
      <c r="D38" s="1">
        <v>500</v>
      </c>
      <c r="E38" s="5" t="s">
        <v>113</v>
      </c>
    </row>
    <row r="39" spans="1:5">
      <c r="A39" s="2" t="s">
        <v>10</v>
      </c>
      <c r="B39" s="5" t="s">
        <v>120</v>
      </c>
      <c r="C39" s="1" t="s">
        <v>190</v>
      </c>
      <c r="D39" s="1">
        <v>1156</v>
      </c>
      <c r="E39" s="5"/>
    </row>
    <row r="40" spans="1:5">
      <c r="A40" s="2" t="s">
        <v>10</v>
      </c>
      <c r="B40" s="5" t="s">
        <v>120</v>
      </c>
      <c r="C40" s="1" t="s">
        <v>199</v>
      </c>
      <c r="D40" s="1">
        <v>1156</v>
      </c>
      <c r="E40" s="5"/>
    </row>
    <row r="41" spans="1:5">
      <c r="A41" s="2" t="s">
        <v>10</v>
      </c>
      <c r="B41" s="5" t="s">
        <v>144</v>
      </c>
      <c r="C41" s="1" t="s">
        <v>146</v>
      </c>
      <c r="D41" s="1">
        <v>1750</v>
      </c>
      <c r="E41" s="5" t="s">
        <v>113</v>
      </c>
    </row>
    <row r="42" spans="1:5">
      <c r="A42" s="2" t="s">
        <v>10</v>
      </c>
      <c r="B42" s="5" t="s">
        <v>142</v>
      </c>
      <c r="C42" s="1" t="s">
        <v>147</v>
      </c>
      <c r="D42" s="1">
        <v>1750</v>
      </c>
      <c r="E42" s="5" t="s">
        <v>113</v>
      </c>
    </row>
    <row r="43" spans="1:5">
      <c r="A43" s="2" t="s">
        <v>10</v>
      </c>
      <c r="B43" s="5" t="s">
        <v>114</v>
      </c>
      <c r="C43" s="1" t="s">
        <v>148</v>
      </c>
      <c r="D43" s="1">
        <v>1750</v>
      </c>
      <c r="E43" s="5" t="s">
        <v>113</v>
      </c>
    </row>
    <row r="44" spans="1:5">
      <c r="A44" s="2" t="s">
        <v>10</v>
      </c>
      <c r="B44" s="5" t="s">
        <v>108</v>
      </c>
      <c r="C44" s="1" t="s">
        <v>149</v>
      </c>
      <c r="D44" s="1">
        <v>1750</v>
      </c>
      <c r="E44" s="5" t="s">
        <v>113</v>
      </c>
    </row>
    <row r="45" spans="1:5">
      <c r="A45" s="2" t="s">
        <v>10</v>
      </c>
      <c r="B45" s="5" t="s">
        <v>120</v>
      </c>
      <c r="C45" s="1" t="s">
        <v>150</v>
      </c>
      <c r="D45" s="1">
        <v>1750</v>
      </c>
      <c r="E45" s="5"/>
    </row>
    <row r="46" spans="1:5">
      <c r="A46" s="2" t="s">
        <v>10</v>
      </c>
      <c r="B46" s="5" t="s">
        <v>124</v>
      </c>
      <c r="C46" s="1" t="s">
        <v>151</v>
      </c>
      <c r="D46" s="1">
        <v>1750</v>
      </c>
      <c r="E46" s="5"/>
    </row>
    <row r="47" spans="1:5">
      <c r="A47" s="2" t="s">
        <v>10</v>
      </c>
      <c r="B47" s="5" t="s">
        <v>125</v>
      </c>
      <c r="C47" s="1" t="s">
        <v>152</v>
      </c>
      <c r="D47" s="1">
        <v>1750</v>
      </c>
      <c r="E47" s="5"/>
    </row>
    <row r="48" spans="1:5">
      <c r="A48" s="2" t="s">
        <v>10</v>
      </c>
      <c r="B48" s="5" t="s">
        <v>126</v>
      </c>
      <c r="C48" s="1" t="s">
        <v>153</v>
      </c>
      <c r="D48" s="1">
        <v>1750</v>
      </c>
      <c r="E48" s="5"/>
    </row>
    <row r="49" spans="1:5">
      <c r="A49" s="2" t="s">
        <v>10</v>
      </c>
      <c r="B49" s="5" t="s">
        <v>127</v>
      </c>
      <c r="C49" s="1" t="s">
        <v>154</v>
      </c>
      <c r="D49" s="1">
        <v>1750</v>
      </c>
      <c r="E49" s="5"/>
    </row>
    <row r="50" spans="1:5">
      <c r="A50" s="2" t="s">
        <v>10</v>
      </c>
      <c r="B50" s="5" t="s">
        <v>128</v>
      </c>
      <c r="C50" s="1" t="s">
        <v>155</v>
      </c>
      <c r="D50" s="1">
        <v>1750</v>
      </c>
      <c r="E50" s="5"/>
    </row>
    <row r="51" spans="1:5">
      <c r="A51" s="2" t="s">
        <v>172</v>
      </c>
      <c r="B51" s="5" t="s">
        <v>120</v>
      </c>
      <c r="C51" s="1" t="s">
        <v>207</v>
      </c>
      <c r="D51" s="1">
        <v>-1456</v>
      </c>
      <c r="E51" s="5" t="s">
        <v>113</v>
      </c>
    </row>
    <row r="52" spans="1:5">
      <c r="A52" s="2" t="s">
        <v>173</v>
      </c>
      <c r="B52" s="5" t="s">
        <v>124</v>
      </c>
      <c r="C52" s="1" t="s">
        <v>207</v>
      </c>
      <c r="D52" s="1">
        <v>-1456</v>
      </c>
      <c r="E52" s="5" t="s">
        <v>113</v>
      </c>
    </row>
    <row r="53" spans="1:5">
      <c r="A53" s="2" t="s">
        <v>174</v>
      </c>
      <c r="B53" s="5" t="s">
        <v>120</v>
      </c>
      <c r="C53" s="1" t="s">
        <v>208</v>
      </c>
      <c r="D53" s="1">
        <v>-1456</v>
      </c>
      <c r="E53" s="5" t="s">
        <v>113</v>
      </c>
    </row>
    <row r="54" spans="1:5">
      <c r="A54" s="2" t="s">
        <v>175</v>
      </c>
      <c r="B54" s="5" t="s">
        <v>124</v>
      </c>
      <c r="C54" s="1" t="s">
        <v>208</v>
      </c>
      <c r="D54" s="1">
        <v>-1456</v>
      </c>
      <c r="E54" s="5" t="s">
        <v>113</v>
      </c>
    </row>
    <row r="55" spans="1:5">
      <c r="A55" s="1" t="s">
        <v>13</v>
      </c>
      <c r="B55" s="5" t="s">
        <v>125</v>
      </c>
      <c r="C55" s="1" t="s">
        <v>208</v>
      </c>
      <c r="D55" s="1">
        <v>-1456</v>
      </c>
      <c r="E55" s="5"/>
    </row>
    <row r="56" spans="1:5">
      <c r="A56" s="2" t="s">
        <v>175</v>
      </c>
      <c r="B56" s="5" t="s">
        <v>126</v>
      </c>
      <c r="C56" s="1" t="s">
        <v>208</v>
      </c>
      <c r="D56" s="1">
        <v>-1456</v>
      </c>
      <c r="E56" s="5"/>
    </row>
    <row r="57" spans="1:5">
      <c r="A57" s="2" t="s">
        <v>175</v>
      </c>
      <c r="B57" s="5" t="s">
        <v>127</v>
      </c>
      <c r="C57" s="1" t="s">
        <v>208</v>
      </c>
      <c r="D57" s="1">
        <v>-1456</v>
      </c>
      <c r="E57" s="5"/>
    </row>
    <row r="58" spans="1:5">
      <c r="A58" s="2" t="s">
        <v>175</v>
      </c>
      <c r="B58" s="5" t="s">
        <v>128</v>
      </c>
      <c r="C58" s="1" t="s">
        <v>208</v>
      </c>
      <c r="D58" s="1">
        <v>-1456</v>
      </c>
      <c r="E58" s="5"/>
    </row>
    <row r="59" spans="1:5">
      <c r="A59" s="2" t="s">
        <v>134</v>
      </c>
      <c r="B59" s="5" t="s">
        <v>120</v>
      </c>
      <c r="C59" s="1" t="s">
        <v>202</v>
      </c>
      <c r="D59" s="1">
        <v>-957</v>
      </c>
      <c r="E59" s="5" t="s">
        <v>113</v>
      </c>
    </row>
    <row r="60" spans="1:5">
      <c r="A60" s="2" t="s">
        <v>134</v>
      </c>
      <c r="B60" s="5" t="s">
        <v>124</v>
      </c>
      <c r="C60" s="1" t="s">
        <v>201</v>
      </c>
      <c r="D60" s="1">
        <v>-957</v>
      </c>
      <c r="E60" s="5" t="s">
        <v>113</v>
      </c>
    </row>
    <row r="61" spans="1:5">
      <c r="A61" s="2" t="s">
        <v>133</v>
      </c>
      <c r="B61" s="5" t="s">
        <v>125</v>
      </c>
      <c r="C61" s="1" t="s">
        <v>201</v>
      </c>
      <c r="D61" s="1">
        <v>-957</v>
      </c>
      <c r="E61" s="5"/>
    </row>
    <row r="62" spans="1:5">
      <c r="A62" s="2" t="s">
        <v>133</v>
      </c>
      <c r="B62" s="5" t="s">
        <v>126</v>
      </c>
      <c r="C62" s="1" t="s">
        <v>201</v>
      </c>
      <c r="D62" s="1">
        <v>-957</v>
      </c>
      <c r="E62" s="5"/>
    </row>
    <row r="63" spans="1:5">
      <c r="A63" s="2" t="s">
        <v>133</v>
      </c>
      <c r="B63" s="5" t="s">
        <v>127</v>
      </c>
      <c r="C63" s="1" t="s">
        <v>201</v>
      </c>
      <c r="D63" s="1">
        <v>-172</v>
      </c>
      <c r="E63" s="5"/>
    </row>
    <row r="64" spans="1:5">
      <c r="A64" s="2" t="s">
        <v>118</v>
      </c>
      <c r="B64" s="5" t="s">
        <v>120</v>
      </c>
      <c r="C64" s="1" t="s">
        <v>202</v>
      </c>
      <c r="D64" s="1">
        <v>-953</v>
      </c>
      <c r="E64" s="5" t="s">
        <v>113</v>
      </c>
    </row>
    <row r="65" spans="1:5">
      <c r="A65" s="2" t="s">
        <v>118</v>
      </c>
      <c r="B65" s="5" t="s">
        <v>124</v>
      </c>
      <c r="C65" s="1" t="s">
        <v>201</v>
      </c>
      <c r="D65" s="1">
        <v>-953</v>
      </c>
      <c r="E65" s="5" t="s">
        <v>113</v>
      </c>
    </row>
    <row r="66" spans="1:5">
      <c r="A66" s="2" t="s">
        <v>118</v>
      </c>
      <c r="B66" s="5" t="s">
        <v>125</v>
      </c>
      <c r="C66" s="1" t="s">
        <v>201</v>
      </c>
      <c r="D66" s="1">
        <v>-953</v>
      </c>
      <c r="E66" s="5"/>
    </row>
    <row r="67" spans="1:5">
      <c r="A67" s="2" t="s">
        <v>118</v>
      </c>
      <c r="B67" s="5" t="s">
        <v>126</v>
      </c>
      <c r="C67" s="1" t="s">
        <v>201</v>
      </c>
      <c r="D67" s="1">
        <v>-953</v>
      </c>
      <c r="E67" s="5"/>
    </row>
    <row r="68" spans="1:5">
      <c r="A68" s="2" t="s">
        <v>118</v>
      </c>
      <c r="B68" s="5" t="s">
        <v>127</v>
      </c>
      <c r="C68" s="1" t="s">
        <v>201</v>
      </c>
      <c r="D68" s="1">
        <v>-188</v>
      </c>
      <c r="E68" s="5"/>
    </row>
    <row r="69" spans="1:5">
      <c r="A69" s="2" t="s">
        <v>176</v>
      </c>
      <c r="B69" s="5" t="s">
        <v>120</v>
      </c>
      <c r="C69" s="1" t="s">
        <v>208</v>
      </c>
      <c r="D69" s="1">
        <v>-953</v>
      </c>
      <c r="E69" s="5" t="s">
        <v>113</v>
      </c>
    </row>
    <row r="70" spans="1:5">
      <c r="A70" s="2" t="s">
        <v>177</v>
      </c>
      <c r="B70" s="5" t="s">
        <v>124</v>
      </c>
      <c r="C70" s="1" t="s">
        <v>208</v>
      </c>
      <c r="D70" s="1">
        <v>-953</v>
      </c>
      <c r="E70" s="5" t="s">
        <v>113</v>
      </c>
    </row>
    <row r="71" spans="1:5">
      <c r="A71" s="2" t="s">
        <v>177</v>
      </c>
      <c r="B71" s="5" t="s">
        <v>125</v>
      </c>
      <c r="C71" s="1" t="s">
        <v>208</v>
      </c>
      <c r="D71" s="1">
        <v>-953</v>
      </c>
      <c r="E71" s="5"/>
    </row>
    <row r="72" spans="1:5">
      <c r="A72" s="2" t="s">
        <v>177</v>
      </c>
      <c r="B72" s="5" t="s">
        <v>126</v>
      </c>
      <c r="C72" s="1" t="s">
        <v>208</v>
      </c>
      <c r="D72" s="1">
        <v>-953</v>
      </c>
      <c r="E72" s="5"/>
    </row>
    <row r="73" spans="1:5">
      <c r="A73" s="2" t="s">
        <v>177</v>
      </c>
      <c r="B73" s="5" t="s">
        <v>127</v>
      </c>
      <c r="C73" s="1" t="s">
        <v>208</v>
      </c>
      <c r="D73" s="1">
        <v>-953</v>
      </c>
      <c r="E73" s="5"/>
    </row>
    <row r="74" spans="1:5">
      <c r="A74" s="2" t="s">
        <v>177</v>
      </c>
      <c r="B74" s="5" t="s">
        <v>128</v>
      </c>
      <c r="C74" s="1" t="s">
        <v>208</v>
      </c>
      <c r="D74" s="1">
        <v>-953</v>
      </c>
      <c r="E74" s="5"/>
    </row>
    <row r="75" spans="1:5">
      <c r="A75" s="2" t="s">
        <v>178</v>
      </c>
      <c r="B75" s="5" t="s">
        <v>120</v>
      </c>
      <c r="C75" s="1" t="s">
        <v>208</v>
      </c>
      <c r="D75" s="1">
        <v>-953</v>
      </c>
      <c r="E75" s="5" t="s">
        <v>113</v>
      </c>
    </row>
    <row r="76" spans="1:5">
      <c r="A76" s="2" t="s">
        <v>179</v>
      </c>
      <c r="B76" s="5" t="s">
        <v>124</v>
      </c>
      <c r="C76" s="1" t="s">
        <v>208</v>
      </c>
      <c r="D76" s="1">
        <v>-953</v>
      </c>
      <c r="E76" s="5" t="s">
        <v>113</v>
      </c>
    </row>
    <row r="77" spans="1:5">
      <c r="A77" s="2" t="s">
        <v>179</v>
      </c>
      <c r="B77" s="5" t="s">
        <v>125</v>
      </c>
      <c r="C77" s="1" t="s">
        <v>208</v>
      </c>
      <c r="D77" s="1">
        <v>-953</v>
      </c>
      <c r="E77" s="5"/>
    </row>
    <row r="78" spans="1:5">
      <c r="A78" s="2" t="s">
        <v>179</v>
      </c>
      <c r="B78" s="5" t="s">
        <v>126</v>
      </c>
      <c r="C78" s="1" t="s">
        <v>208</v>
      </c>
      <c r="D78" s="1">
        <v>-953</v>
      </c>
      <c r="E78" s="5"/>
    </row>
    <row r="79" spans="1:5">
      <c r="A79" s="2" t="s">
        <v>179</v>
      </c>
      <c r="B79" s="5" t="s">
        <v>127</v>
      </c>
      <c r="C79" s="1" t="s">
        <v>208</v>
      </c>
      <c r="D79" s="1">
        <v>-953</v>
      </c>
      <c r="E79" s="5"/>
    </row>
    <row r="80" spans="1:5">
      <c r="A80" s="2" t="s">
        <v>179</v>
      </c>
      <c r="B80" s="5" t="s">
        <v>128</v>
      </c>
      <c r="C80" s="1" t="s">
        <v>208</v>
      </c>
      <c r="D80" s="1">
        <v>-953</v>
      </c>
      <c r="E80" s="5"/>
    </row>
    <row r="81" spans="1:5">
      <c r="A81" s="2" t="s">
        <v>17</v>
      </c>
      <c r="B81" s="5" t="s">
        <v>119</v>
      </c>
      <c r="C81" s="1" t="s">
        <v>191</v>
      </c>
      <c r="D81" s="1">
        <v>1122</v>
      </c>
      <c r="E81" s="5" t="s">
        <v>113</v>
      </c>
    </row>
    <row r="82" spans="1:5">
      <c r="A82" s="2" t="s">
        <v>17</v>
      </c>
      <c r="B82" s="5" t="s">
        <v>124</v>
      </c>
      <c r="C82" s="1" t="s">
        <v>192</v>
      </c>
      <c r="D82" s="1">
        <v>1122</v>
      </c>
      <c r="E82" s="5" t="s">
        <v>113</v>
      </c>
    </row>
    <row r="83" spans="1:5">
      <c r="A83" s="2" t="s">
        <v>17</v>
      </c>
      <c r="B83" s="5" t="s">
        <v>125</v>
      </c>
      <c r="C83" s="1" t="s">
        <v>193</v>
      </c>
      <c r="D83" s="1">
        <v>1122</v>
      </c>
      <c r="E83" s="5"/>
    </row>
    <row r="84" spans="1:5">
      <c r="A84" s="2" t="s">
        <v>17</v>
      </c>
      <c r="B84" s="5" t="s">
        <v>126</v>
      </c>
      <c r="C84" s="1" t="s">
        <v>194</v>
      </c>
      <c r="D84" s="1">
        <v>1122</v>
      </c>
      <c r="E84" s="5"/>
    </row>
    <row r="85" spans="1:5">
      <c r="A85" s="2" t="s">
        <v>17</v>
      </c>
      <c r="B85" s="5" t="s">
        <v>127</v>
      </c>
      <c r="C85" s="1" t="s">
        <v>195</v>
      </c>
      <c r="D85" s="1">
        <v>1122</v>
      </c>
      <c r="E85" s="5"/>
    </row>
    <row r="86" spans="1:5">
      <c r="A86" s="2" t="s">
        <v>17</v>
      </c>
      <c r="B86" s="5" t="s">
        <v>128</v>
      </c>
      <c r="C86" s="1" t="s">
        <v>196</v>
      </c>
      <c r="D86" s="1">
        <v>1122</v>
      </c>
      <c r="E86" s="5"/>
    </row>
    <row r="87" spans="1:5">
      <c r="A87" s="2" t="s">
        <v>17</v>
      </c>
      <c r="B87" s="5" t="s">
        <v>184</v>
      </c>
      <c r="C87" s="1" t="s">
        <v>197</v>
      </c>
      <c r="D87" s="1">
        <v>1122</v>
      </c>
      <c r="E87" s="5"/>
    </row>
    <row r="88" spans="1:5">
      <c r="A88" s="2" t="s">
        <v>17</v>
      </c>
      <c r="B88" s="5" t="s">
        <v>185</v>
      </c>
      <c r="C88" s="1" t="s">
        <v>198</v>
      </c>
      <c r="D88" s="1">
        <v>46</v>
      </c>
      <c r="E88" s="5"/>
    </row>
    <row r="89" spans="1:5">
      <c r="A89" s="2" t="s">
        <v>129</v>
      </c>
      <c r="B89" s="5" t="s">
        <v>119</v>
      </c>
      <c r="C89" s="1" t="s">
        <v>191</v>
      </c>
      <c r="D89" s="1">
        <v>1122</v>
      </c>
      <c r="E89" s="5" t="s">
        <v>113</v>
      </c>
    </row>
    <row r="90" spans="1:5">
      <c r="A90" s="2" t="s">
        <v>129</v>
      </c>
      <c r="B90" s="5" t="s">
        <v>124</v>
      </c>
      <c r="C90" s="1" t="s">
        <v>192</v>
      </c>
      <c r="D90" s="1">
        <v>1122</v>
      </c>
      <c r="E90" s="5" t="s">
        <v>113</v>
      </c>
    </row>
    <row r="91" spans="1:5">
      <c r="A91" s="2" t="s">
        <v>129</v>
      </c>
      <c r="B91" s="5" t="s">
        <v>125</v>
      </c>
      <c r="C91" s="1" t="s">
        <v>193</v>
      </c>
      <c r="D91" s="1">
        <v>1122</v>
      </c>
      <c r="E91" s="5"/>
    </row>
    <row r="92" spans="1:5">
      <c r="A92" s="2" t="s">
        <v>18</v>
      </c>
      <c r="B92" s="5" t="s">
        <v>126</v>
      </c>
      <c r="C92" s="1" t="s">
        <v>194</v>
      </c>
      <c r="D92" s="1">
        <v>1122</v>
      </c>
      <c r="E92" s="5"/>
    </row>
    <row r="93" spans="1:5">
      <c r="A93" s="2" t="s">
        <v>18</v>
      </c>
      <c r="B93" s="5" t="s">
        <v>127</v>
      </c>
      <c r="C93" s="1" t="s">
        <v>195</v>
      </c>
      <c r="D93" s="1">
        <v>1122</v>
      </c>
      <c r="E93" s="5"/>
    </row>
    <row r="94" spans="1:5">
      <c r="A94" s="2" t="s">
        <v>18</v>
      </c>
      <c r="B94" s="5" t="s">
        <v>128</v>
      </c>
      <c r="C94" s="1" t="s">
        <v>196</v>
      </c>
      <c r="D94" s="1">
        <v>1122</v>
      </c>
      <c r="E94" s="5"/>
    </row>
    <row r="95" spans="1:5">
      <c r="A95" s="2" t="s">
        <v>18</v>
      </c>
      <c r="B95" s="5" t="s">
        <v>184</v>
      </c>
      <c r="C95" s="1" t="s">
        <v>197</v>
      </c>
      <c r="D95" s="1">
        <v>1122</v>
      </c>
      <c r="E95" s="5"/>
    </row>
    <row r="96" spans="1:5">
      <c r="A96" s="2" t="s">
        <v>18</v>
      </c>
      <c r="B96" s="5" t="s">
        <v>185</v>
      </c>
      <c r="C96" s="1" t="s">
        <v>198</v>
      </c>
      <c r="D96" s="1">
        <v>46</v>
      </c>
      <c r="E96" s="5"/>
    </row>
    <row r="97" spans="1:5">
      <c r="A97" s="2" t="s">
        <v>180</v>
      </c>
      <c r="B97" s="5" t="s">
        <v>120</v>
      </c>
      <c r="C97" s="1" t="s">
        <v>203</v>
      </c>
      <c r="D97" s="1">
        <v>-1824</v>
      </c>
      <c r="E97" s="5" t="s">
        <v>113</v>
      </c>
    </row>
    <row r="98" spans="1:5">
      <c r="A98" s="2" t="s">
        <v>181</v>
      </c>
      <c r="B98" s="5" t="s">
        <v>124</v>
      </c>
      <c r="C98" s="1" t="s">
        <v>203</v>
      </c>
      <c r="D98" s="1">
        <v>-1824</v>
      </c>
      <c r="E98" s="5" t="s">
        <v>113</v>
      </c>
    </row>
    <row r="99" spans="1:5">
      <c r="A99" s="2" t="s">
        <v>181</v>
      </c>
      <c r="B99" s="5" t="s">
        <v>125</v>
      </c>
      <c r="C99" s="1" t="s">
        <v>203</v>
      </c>
      <c r="D99" s="1">
        <v>-1824</v>
      </c>
      <c r="E99" s="5"/>
    </row>
    <row r="100" spans="1:5">
      <c r="A100" s="2" t="s">
        <v>182</v>
      </c>
      <c r="B100" s="5" t="s">
        <v>120</v>
      </c>
      <c r="C100" s="1" t="s">
        <v>206</v>
      </c>
      <c r="D100" s="1">
        <v>-1424</v>
      </c>
      <c r="E100" s="5" t="s">
        <v>113</v>
      </c>
    </row>
    <row r="101" spans="1:5">
      <c r="A101" s="2" t="s">
        <v>183</v>
      </c>
      <c r="B101" s="5" t="s">
        <v>124</v>
      </c>
      <c r="C101" s="1" t="s">
        <v>206</v>
      </c>
      <c r="D101" s="1">
        <v>-1424</v>
      </c>
      <c r="E101" s="5" t="s">
        <v>113</v>
      </c>
    </row>
    <row r="102" spans="1:5">
      <c r="A102" s="1" t="s">
        <v>22</v>
      </c>
      <c r="B102" s="5" t="s">
        <v>125</v>
      </c>
      <c r="C102" s="1" t="s">
        <v>206</v>
      </c>
      <c r="D102" s="1">
        <v>-1424</v>
      </c>
      <c r="E102" s="5"/>
    </row>
    <row r="103" spans="1:5">
      <c r="A103" s="1" t="s">
        <v>22</v>
      </c>
      <c r="B103" s="5" t="s">
        <v>126</v>
      </c>
      <c r="C103" s="1" t="s">
        <v>206</v>
      </c>
      <c r="D103" s="1">
        <v>-1424</v>
      </c>
      <c r="E103" s="5"/>
    </row>
    <row r="104" spans="1:5">
      <c r="A104" s="1" t="s">
        <v>22</v>
      </c>
      <c r="B104" s="5" t="s">
        <v>127</v>
      </c>
      <c r="C104" s="1" t="s">
        <v>206</v>
      </c>
      <c r="D104" s="1">
        <v>-1424</v>
      </c>
      <c r="E104" s="5"/>
    </row>
    <row r="105" spans="1:5">
      <c r="A105" s="1" t="s">
        <v>22</v>
      </c>
      <c r="B105" s="5" t="s">
        <v>128</v>
      </c>
      <c r="C105" s="1" t="s">
        <v>206</v>
      </c>
      <c r="D105" s="1">
        <v>-1424</v>
      </c>
      <c r="E105" s="5"/>
    </row>
    <row r="106" spans="1:5">
      <c r="A106" s="1" t="s">
        <v>22</v>
      </c>
      <c r="B106" s="5" t="s">
        <v>184</v>
      </c>
      <c r="C106" s="1" t="s">
        <v>206</v>
      </c>
      <c r="D106" s="1">
        <v>-1424</v>
      </c>
      <c r="E106" s="5"/>
    </row>
    <row r="107" spans="1:5">
      <c r="A107" s="1" t="s">
        <v>22</v>
      </c>
      <c r="B107" s="5" t="s">
        <v>185</v>
      </c>
      <c r="C107" s="1" t="s">
        <v>206</v>
      </c>
      <c r="D107" s="1">
        <v>-1424</v>
      </c>
      <c r="E107" s="5"/>
    </row>
    <row r="108" spans="1:5">
      <c r="A108" s="1" t="s">
        <v>22</v>
      </c>
      <c r="B108" s="5" t="s">
        <v>186</v>
      </c>
      <c r="C108" s="1" t="s">
        <v>206</v>
      </c>
      <c r="D108" s="1">
        <v>-1424</v>
      </c>
      <c r="E108" s="5"/>
    </row>
    <row r="109" spans="1:5">
      <c r="A109" s="1" t="s">
        <v>22</v>
      </c>
      <c r="B109" s="5" t="s">
        <v>187</v>
      </c>
      <c r="C109" s="1" t="s">
        <v>206</v>
      </c>
      <c r="D109" s="1">
        <v>-1424</v>
      </c>
      <c r="E109" s="5"/>
    </row>
    <row r="110" spans="1:5">
      <c r="A110" s="1" t="s">
        <v>22</v>
      </c>
      <c r="B110" s="5" t="s">
        <v>188</v>
      </c>
      <c r="C110" s="1" t="s">
        <v>206</v>
      </c>
      <c r="D110" s="1">
        <v>-1424</v>
      </c>
      <c r="E110" s="5"/>
    </row>
    <row r="111" spans="1:5">
      <c r="A111" s="1" t="s">
        <v>22</v>
      </c>
      <c r="B111" s="5" t="s">
        <v>189</v>
      </c>
      <c r="C111" s="1" t="s">
        <v>206</v>
      </c>
      <c r="D111" s="1">
        <v>-1424</v>
      </c>
      <c r="E111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18" sqref="A18"/>
    </sheetView>
  </sheetViews>
  <sheetFormatPr defaultRowHeight="17"/>
  <cols>
    <col min="1" max="1" width="54.90625" customWidth="1"/>
    <col min="2" max="3" width="10.453125" style="3" bestFit="1" customWidth="1"/>
  </cols>
  <sheetData>
    <row r="1" spans="1:4">
      <c r="A1" s="1" t="s">
        <v>53</v>
      </c>
      <c r="B1" s="5" t="s">
        <v>97</v>
      </c>
      <c r="C1" s="5" t="s">
        <v>98</v>
      </c>
      <c r="D1" s="1" t="s">
        <v>99</v>
      </c>
    </row>
    <row r="2" spans="1:4">
      <c r="A2" s="6" t="s">
        <v>17</v>
      </c>
      <c r="B2" s="7" t="s">
        <v>93</v>
      </c>
      <c r="C2" s="7" t="s">
        <v>101</v>
      </c>
      <c r="D2" s="8" t="s">
        <v>102</v>
      </c>
    </row>
    <row r="3" spans="1:4">
      <c r="A3" s="6" t="s">
        <v>18</v>
      </c>
      <c r="B3" s="7" t="s">
        <v>93</v>
      </c>
      <c r="C3" s="7" t="s">
        <v>101</v>
      </c>
      <c r="D3" s="8" t="s">
        <v>102</v>
      </c>
    </row>
    <row r="4" spans="1:4">
      <c r="A4" s="6" t="s">
        <v>17</v>
      </c>
      <c r="B4" s="7" t="s">
        <v>100</v>
      </c>
      <c r="C4" s="7" t="s">
        <v>96</v>
      </c>
      <c r="D4" s="8" t="s">
        <v>94</v>
      </c>
    </row>
    <row r="5" spans="1:4">
      <c r="A5" s="6" t="s">
        <v>18</v>
      </c>
      <c r="B5" s="7" t="s">
        <v>100</v>
      </c>
      <c r="C5" s="7" t="s">
        <v>96</v>
      </c>
      <c r="D5" s="8" t="s">
        <v>95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門牌</vt:lpstr>
      <vt:lpstr>應收管理費</vt:lpstr>
      <vt:lpstr>承租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官哲寬</cp:lastModifiedBy>
  <dcterms:created xsi:type="dcterms:W3CDTF">2024-10-04T04:52:26Z</dcterms:created>
  <dcterms:modified xsi:type="dcterms:W3CDTF">2026-03-03T11:39:48Z</dcterms:modified>
</cp:coreProperties>
</file>