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1840" windowHeight="12345"/>
  </bookViews>
  <sheets>
    <sheet name="門牌" sheetId="1" r:id="rId1"/>
    <sheet name="承租" sheetId="5" r:id="rId2"/>
    <sheet name="應收管理費" sheetId="2" r:id="rId3"/>
    <sheet name="汽機車" sheetId="6" r:id="rId4"/>
  </sheets>
  <definedNames>
    <definedName name="_xlnm._FilterDatabase" localSheetId="0" hidden="1">門牌!$J$1:$J$35</definedName>
  </definedNames>
  <calcPr calcId="125725"/>
</workbook>
</file>

<file path=xl/calcChain.xml><?xml version="1.0" encoding="utf-8"?>
<calcChain xmlns="http://schemas.openxmlformats.org/spreadsheetml/2006/main">
  <c r="H18" i="2"/>
  <c r="I18" s="1"/>
  <c r="H29"/>
  <c r="I29" s="1"/>
  <c r="H28"/>
  <c r="I28" s="1"/>
  <c r="H3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17"/>
  <c r="I17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30"/>
  <c r="I30" s="1"/>
  <c r="H31"/>
  <c r="I31" s="1"/>
  <c r="H32"/>
  <c r="I32" s="1"/>
  <c r="H33"/>
  <c r="I33" s="1"/>
  <c r="H34"/>
  <c r="I34" s="1"/>
  <c r="H2"/>
  <c r="I2" s="1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</calcChain>
</file>

<file path=xl/sharedStrings.xml><?xml version="1.0" encoding="utf-8"?>
<sst xmlns="http://schemas.openxmlformats.org/spreadsheetml/2006/main" count="617" uniqueCount="233">
  <si>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</si>
  <si>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</si>
  <si>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</si>
  <si>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</si>
  <si>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</si>
  <si>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</si>
  <si>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</si>
  <si>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</si>
  <si>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</si>
  <si>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</si>
  <si>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</si>
  <si>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</si>
  <si>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</si>
  <si>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</si>
  <si>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</si>
  <si>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</si>
  <si>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</si>
  <si>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</si>
  <si>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</si>
  <si>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</si>
  <si>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</si>
  <si>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</si>
  <si>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</si>
  <si>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</si>
  <si>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</si>
  <si>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</si>
  <si>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</si>
  <si>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</si>
  <si>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</si>
  <si>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</si>
  <si>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</si>
  <si>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</si>
  <si>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</si>
  <si>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</si>
  <si>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</si>
  <si>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</si>
  <si>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</si>
  <si>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</si>
  <si>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</si>
  <si>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</si>
  <si>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</si>
  <si>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賴宏國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</si>
  <si>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</si>
  <si>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</si>
  <si>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</si>
  <si>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</si>
  <si>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</si>
  <si>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</si>
  <si>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</si>
  <si>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</si>
  <si>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</si>
  <si>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</si>
  <si>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</si>
  <si>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</si>
  <si>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</si>
  <si>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</si>
  <si>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</si>
  <si>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</si>
  <si>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</si>
  <si>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</si>
  <si>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</si>
  <si>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</si>
  <si>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</si>
  <si>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</si>
  <si>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</si>
  <si>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</si>
  <si>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</si>
  <si>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</si>
  <si>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</si>
  <si>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</si>
  <si>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</si>
  <si>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</si>
  <si>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</si>
  <si>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</si>
  <si>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</si>
  <si>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</si>
  <si>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</si>
  <si>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</si>
  <si>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</si>
  <si>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</si>
  <si>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</si>
  <si>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</si>
  <si>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</si>
  <si>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</si>
  <si>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</si>
  <si>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</si>
  <si>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</si>
  <si>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</si>
  <si>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</si>
  <si>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</si>
  <si>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</si>
  <si>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</si>
  <si>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</si>
  <si>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</si>
  <si>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</si>
  <si>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</si>
  <si>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</si>
  <si>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</si>
  <si>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</si>
  <si>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</si>
  <si>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</si>
  <si>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</si>
  <si>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</si>
  <si>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</si>
  <si>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</si>
  <si>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</si>
  <si>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</si>
  <si>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</si>
  <si>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</si>
  <si>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</si>
  <si>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C3</t>
    <phoneticPr fontId="2" type="noConversion"/>
  </si>
  <si>
    <t>月數</t>
    <phoneticPr fontId="2" type="noConversion"/>
  </si>
  <si>
    <t>應收管理費</t>
    <phoneticPr fontId="2" type="noConversion"/>
  </si>
  <si>
    <t>B3</t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</si>
  <si>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</si>
  <si>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</si>
  <si>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</si>
  <si>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</si>
  <si>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</si>
  <si>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</si>
  <si>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</si>
  <si>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</si>
  <si>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</si>
  <si>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</si>
  <si>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B1</t>
    <phoneticPr fontId="2" type="noConversion"/>
  </si>
  <si>
    <t>住戶代碼</t>
    <phoneticPr fontId="2" type="noConversion"/>
  </si>
  <si>
    <t>車牌</t>
    <phoneticPr fontId="2" type="noConversion"/>
  </si>
  <si>
    <t>車型</t>
    <phoneticPr fontId="2" type="noConversion"/>
  </si>
  <si>
    <t>停車格</t>
    <phoneticPr fontId="2" type="noConversion"/>
  </si>
  <si>
    <t>停車位置</t>
    <phoneticPr fontId="2" type="noConversion"/>
  </si>
  <si>
    <t>707-EHT</t>
    <phoneticPr fontId="2" type="noConversion"/>
  </si>
  <si>
    <t>AYB-8815</t>
    <phoneticPr fontId="2" type="noConversion"/>
  </si>
  <si>
    <t>機車</t>
    <phoneticPr fontId="2" type="noConversion"/>
  </si>
  <si>
    <t>汽車</t>
    <phoneticPr fontId="2" type="noConversion"/>
  </si>
  <si>
    <t>地下室</t>
    <phoneticPr fontId="2" type="noConversion"/>
  </si>
  <si>
    <t>05</t>
    <phoneticPr fontId="2" type="noConversion"/>
  </si>
  <si>
    <t>965-ECN</t>
    <phoneticPr fontId="2" type="noConversion"/>
  </si>
  <si>
    <t>MVG-2267</t>
    <phoneticPr fontId="2" type="noConversion"/>
  </si>
  <si>
    <t>18</t>
    <phoneticPr fontId="2" type="noConversion"/>
  </si>
  <si>
    <t>NYN-9021</t>
    <phoneticPr fontId="2" type="noConversion"/>
  </si>
  <si>
    <t>MVZ-7190</t>
    <phoneticPr fontId="2" type="noConversion"/>
  </si>
  <si>
    <t>PBB-9789</t>
    <phoneticPr fontId="2" type="noConversion"/>
  </si>
  <si>
    <t>中庭</t>
    <phoneticPr fontId="2" type="noConversion"/>
  </si>
  <si>
    <t>EMK-2150</t>
    <phoneticPr fontId="2" type="noConversion"/>
  </si>
  <si>
    <t>380-KNK</t>
    <phoneticPr fontId="2" type="noConversion"/>
  </si>
  <si>
    <t>NLW-0110</t>
    <phoneticPr fontId="2" type="noConversion"/>
  </si>
  <si>
    <t>1505-TH</t>
    <phoneticPr fontId="2" type="noConversion"/>
  </si>
  <si>
    <t>218-DHT</t>
    <phoneticPr fontId="2" type="noConversion"/>
  </si>
  <si>
    <t>11</t>
    <phoneticPr fontId="2" type="noConversion"/>
  </si>
  <si>
    <t>04</t>
    <phoneticPr fontId="2" type="noConversion"/>
  </si>
  <si>
    <t>NMA-608</t>
    <phoneticPr fontId="2" type="noConversion"/>
  </si>
  <si>
    <t>MAS-6678</t>
    <phoneticPr fontId="2" type="noConversion"/>
  </si>
  <si>
    <t>MKN-5156</t>
    <phoneticPr fontId="2" type="noConversion"/>
  </si>
  <si>
    <t>MVG-2292</t>
    <phoneticPr fontId="2" type="noConversion"/>
  </si>
  <si>
    <t>1908-VH</t>
    <phoneticPr fontId="2" type="noConversion"/>
  </si>
  <si>
    <t>01</t>
    <phoneticPr fontId="2" type="noConversion"/>
  </si>
  <si>
    <t>NME-7572</t>
    <phoneticPr fontId="2" type="noConversion"/>
  </si>
  <si>
    <t>NYP-0797</t>
    <phoneticPr fontId="2" type="noConversion"/>
  </si>
  <si>
    <t>BSM-0238</t>
    <phoneticPr fontId="2" type="noConversion"/>
  </si>
  <si>
    <t>03</t>
    <phoneticPr fontId="2" type="noConversion"/>
  </si>
  <si>
    <t>08</t>
    <phoneticPr fontId="2" type="noConversion"/>
  </si>
  <si>
    <t>12</t>
    <phoneticPr fontId="2" type="noConversion"/>
  </si>
  <si>
    <t>NFL-2951</t>
    <phoneticPr fontId="2" type="noConversion"/>
  </si>
  <si>
    <t>NGD-1261</t>
    <phoneticPr fontId="2" type="noConversion"/>
  </si>
  <si>
    <t>NMF-0899</t>
    <phoneticPr fontId="2" type="noConversion"/>
  </si>
  <si>
    <t>659-GDN</t>
    <phoneticPr fontId="2" type="noConversion"/>
  </si>
  <si>
    <t>9818-VQ</t>
    <phoneticPr fontId="2" type="noConversion"/>
  </si>
  <si>
    <t>PBA-0570</t>
    <phoneticPr fontId="2" type="noConversion"/>
  </si>
  <si>
    <t>MHK-5839</t>
    <phoneticPr fontId="2" type="noConversion"/>
  </si>
  <si>
    <t>10</t>
    <phoneticPr fontId="2" type="noConversion"/>
  </si>
  <si>
    <t>22</t>
    <phoneticPr fontId="2" type="noConversion"/>
  </si>
  <si>
    <t>MYA-0961</t>
    <phoneticPr fontId="2" type="noConversion"/>
  </si>
  <si>
    <t>MVG-1809</t>
    <phoneticPr fontId="2" type="noConversion"/>
  </si>
  <si>
    <t>9867-DZ</t>
    <phoneticPr fontId="2" type="noConversion"/>
  </si>
  <si>
    <t>NGC-8632</t>
    <phoneticPr fontId="2" type="noConversion"/>
  </si>
  <si>
    <t>MTV-1619</t>
    <phoneticPr fontId="2" type="noConversion"/>
  </si>
  <si>
    <t>23</t>
    <phoneticPr fontId="2" type="noConversion"/>
  </si>
  <si>
    <t>MGK-6109</t>
    <phoneticPr fontId="2" type="noConversion"/>
  </si>
  <si>
    <t>ENL-3608</t>
    <phoneticPr fontId="2" type="noConversion"/>
  </si>
  <si>
    <t>BPS-0917</t>
    <phoneticPr fontId="2" type="noConversion"/>
  </si>
  <si>
    <t>06</t>
    <phoneticPr fontId="2" type="noConversion"/>
  </si>
  <si>
    <t>MXZ-5379</t>
    <phoneticPr fontId="2" type="noConversion"/>
  </si>
  <si>
    <t>851-KVS</t>
    <phoneticPr fontId="2" type="noConversion"/>
  </si>
  <si>
    <t>522-NCR</t>
    <phoneticPr fontId="2" type="noConversion"/>
  </si>
  <si>
    <t>315-NDL</t>
    <phoneticPr fontId="2" type="noConversion"/>
  </si>
  <si>
    <t>5786-C2</t>
    <phoneticPr fontId="2" type="noConversion"/>
  </si>
  <si>
    <t>735-DHK</t>
    <phoneticPr fontId="2" type="noConversion"/>
  </si>
  <si>
    <t>CRA-633</t>
    <phoneticPr fontId="2" type="noConversion"/>
  </si>
  <si>
    <t>ME9-598</t>
    <phoneticPr fontId="2" type="noConversion"/>
  </si>
  <si>
    <t>MDD-3879</t>
    <phoneticPr fontId="2" type="noConversion"/>
  </si>
  <si>
    <t>MFY-7512</t>
    <phoneticPr fontId="2" type="noConversion"/>
  </si>
  <si>
    <t>EPT-5036</t>
    <phoneticPr fontId="2" type="noConversion"/>
  </si>
  <si>
    <t>NQT-0103</t>
    <phoneticPr fontId="2" type="noConversion"/>
  </si>
  <si>
    <t>NDJ-5952</t>
    <phoneticPr fontId="2" type="noConversion"/>
  </si>
  <si>
    <t>GS3-501</t>
    <phoneticPr fontId="2" type="noConversion"/>
  </si>
  <si>
    <t>電動腳踏車</t>
    <phoneticPr fontId="2" type="noConversion"/>
  </si>
  <si>
    <t>待報廢</t>
    <phoneticPr fontId="2" type="noConversion"/>
  </si>
  <si>
    <t>MFY-7396</t>
    <phoneticPr fontId="2" type="noConversion"/>
  </si>
  <si>
    <t>NUX-2936</t>
    <phoneticPr fontId="2" type="noConversion"/>
  </si>
  <si>
    <t>09</t>
    <phoneticPr fontId="2" type="noConversion"/>
  </si>
  <si>
    <t>MDC-7160</t>
    <phoneticPr fontId="2" type="noConversion"/>
  </si>
  <si>
    <t>NQS-5293</t>
    <phoneticPr fontId="2" type="noConversion"/>
  </si>
  <si>
    <t>NRY-8865</t>
    <phoneticPr fontId="2" type="noConversion"/>
  </si>
  <si>
    <t>323-MHE</t>
    <phoneticPr fontId="2" type="noConversion"/>
  </si>
  <si>
    <t>226-DHJ</t>
    <phoneticPr fontId="2" type="noConversion"/>
  </si>
  <si>
    <t>六福路247巷3號四樓</t>
    <phoneticPr fontId="2" type="noConversion"/>
  </si>
  <si>
    <t>本期管理費</t>
    <phoneticPr fontId="2" type="noConversion"/>
  </si>
  <si>
    <t>ABK-7390</t>
    <phoneticPr fontId="2" type="noConversion"/>
  </si>
  <si>
    <t>07</t>
    <phoneticPr fontId="2" type="noConversion"/>
  </si>
  <si>
    <t>9GA-269</t>
    <phoneticPr fontId="2" type="noConversion"/>
  </si>
  <si>
    <t>6</t>
    <phoneticPr fontId="2" type="noConversion"/>
  </si>
  <si>
    <t>地下室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</si>
  <si>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</si>
  <si>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</si>
  <si>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</si>
  <si>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</si>
  <si>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</si>
  <si>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</si>
  <si>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</si>
  <si>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</si>
  <si>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</si>
  <si>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</si>
  <si>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2025/01/01</t>
  </si>
  <si>
    <t>2025/01/01</t>
    <phoneticPr fontId="2" type="noConversion"/>
  </si>
  <si>
    <t>2025/06/01</t>
  </si>
  <si>
    <t>2025/06/01</t>
    <phoneticPr fontId="2" type="noConversion"/>
  </si>
  <si>
    <t>2025/12/01</t>
    <phoneticPr fontId="2" type="noConversion"/>
  </si>
  <si>
    <t>2025/12/01</t>
    <phoneticPr fontId="2" type="noConversion"/>
  </si>
  <si>
    <t>2025/06/01</t>
    <phoneticPr fontId="2" type="noConversion"/>
  </si>
  <si>
    <t>2025/01/01</t>
    <phoneticPr fontId="2" type="noConversion"/>
  </si>
  <si>
    <t>六福路247巷1號四樓</t>
    <phoneticPr fontId="2" type="noConversion"/>
  </si>
  <si>
    <t>2025/01/01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</si>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</sst>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0" fillId="0" borderId="0" xfId="0" applyNumberFormat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3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selection activeCell="K23" sqref="K23"/>
    </sheetView>
  </sheetViews>
  <sheetFormatPr defaultRowHeight="16.5"/>
  <cols>
    <col min="1" max="1" width="22.875" customWidth="1"/>
    <col min="2" max="2" width="33.5" customWidth="1"/>
    <col min="3" max="3" width="9.5" bestFit="1" customWidth="1"/>
    <col min="4" max="4" width="9.5" customWidth="1"/>
    <col min="5" max="5" width="11.625" bestFit="1" customWidth="1"/>
    <col min="6" max="7" width="7.5" bestFit="1" customWidth="1"/>
    <col min="8" max="8" width="9.375" customWidth="1"/>
    <col min="9" max="9" width="11.625" bestFit="1" customWidth="1"/>
  </cols>
  <sheetData>
    <row r="1" spans="1:10">
      <c r="A1" s="1" t="s">
        <v>65</v>
      </c>
      <c r="B1" s="1" t="s">
        <v>66</v>
      </c>
      <c r="C1" s="1" t="s">
        <v>106</v>
      </c>
      <c r="D1" s="1" t="s">
        <v>107</v>
      </c>
      <c r="E1" s="1" t="s">
        <v>109</v>
      </c>
      <c r="F1" s="1" t="s">
        <v>70</v>
      </c>
      <c r="G1" s="1" t="s">
        <v>71</v>
      </c>
      <c r="H1" s="1" t="s">
        <v>218</v>
      </c>
      <c r="I1" s="5" t="s">
        <v>108</v>
      </c>
      <c r="J1" s="21" t="s">
        <v>212</v>
      </c>
    </row>
    <row r="2" spans="1:10">
      <c r="A2" s="4" t="s">
        <v>0</v>
      </c>
      <c r="B2" s="4" t="s">
        <v>34</v>
      </c>
      <c r="C2" s="4" t="s">
        <v>72</v>
      </c>
      <c r="D2" s="4">
        <v>1</v>
      </c>
      <c r="E2" s="7">
        <v>500</v>
      </c>
      <c r="F2" s="6">
        <v>1</v>
      </c>
      <c r="G2" s="7">
        <v>0</v>
      </c>
      <c r="H2" s="7" t="s">
        <v>219</v>
      </c>
      <c r="I2" s="1">
        <f>E2*D2+100*F2+50*G2</f>
        <v>600</v>
      </c>
      <c r="J2" t="s">
        <v>232</v>
      </c>
    </row>
    <row r="3" spans="1:10">
      <c r="A3" s="2" t="s">
        <v>1</v>
      </c>
      <c r="B3" s="2" t="s">
        <v>35</v>
      </c>
      <c r="C3" s="2" t="s">
        <v>73</v>
      </c>
      <c r="D3" s="2">
        <v>1</v>
      </c>
      <c r="E3" s="7">
        <v>500</v>
      </c>
      <c r="F3" s="6">
        <v>0</v>
      </c>
      <c r="G3" s="7">
        <v>0</v>
      </c>
      <c r="H3" s="7" t="s">
        <v>220</v>
      </c>
      <c r="I3" s="1">
        <f t="shared" ref="I3:I35" si="0">E3*D3+100*F3+50*G3</f>
        <v>500</v>
      </c>
      <c r="J3" t="s">
        <v>232</v>
      </c>
    </row>
    <row r="4" spans="1:10">
      <c r="A4" s="2" t="s">
        <v>2</v>
      </c>
      <c r="B4" s="2" t="s">
        <v>36</v>
      </c>
      <c r="C4" s="4" t="s">
        <v>74</v>
      </c>
      <c r="D4" s="4">
        <v>1</v>
      </c>
      <c r="E4" s="7">
        <v>500</v>
      </c>
      <c r="F4" s="6">
        <v>0</v>
      </c>
      <c r="G4" s="7">
        <v>1</v>
      </c>
      <c r="H4" s="7" t="s">
        <v>220</v>
      </c>
      <c r="I4" s="1">
        <f t="shared" si="0"/>
        <v>550</v>
      </c>
      <c r="J4" t="s">
        <v>232</v>
      </c>
    </row>
    <row r="5" spans="1:10">
      <c r="A5" s="2" t="s">
        <v>3</v>
      </c>
      <c r="B5" s="2" t="s">
        <v>37</v>
      </c>
      <c r="C5" s="2" t="s">
        <v>75</v>
      </c>
      <c r="D5" s="2">
        <v>1</v>
      </c>
      <c r="E5" s="7">
        <v>500</v>
      </c>
      <c r="F5" s="6">
        <v>0</v>
      </c>
      <c r="G5" s="7">
        <v>2</v>
      </c>
      <c r="H5" s="7" t="s">
        <v>219</v>
      </c>
      <c r="I5" s="1">
        <f t="shared" si="0"/>
        <v>600</v>
      </c>
      <c r="J5" t="s">
        <v>232</v>
      </c>
    </row>
    <row r="6" spans="1:10">
      <c r="A6" s="2" t="s">
        <v>4</v>
      </c>
      <c r="B6" s="2" t="s">
        <v>64</v>
      </c>
      <c r="C6" s="4" t="s">
        <v>76</v>
      </c>
      <c r="D6" s="4">
        <v>1</v>
      </c>
      <c r="E6" s="7">
        <v>500</v>
      </c>
      <c r="F6" s="6">
        <v>0</v>
      </c>
      <c r="G6" s="7">
        <v>1</v>
      </c>
      <c r="H6" s="7" t="s">
        <v>219</v>
      </c>
      <c r="I6" s="1">
        <f t="shared" si="0"/>
        <v>550</v>
      </c>
      <c r="J6" t="s">
        <v>232</v>
      </c>
    </row>
    <row r="7" spans="1:10">
      <c r="A7" s="2" t="s">
        <v>5</v>
      </c>
      <c r="B7" s="2" t="s">
        <v>38</v>
      </c>
      <c r="C7" s="2" t="s">
        <v>77</v>
      </c>
      <c r="D7" s="2">
        <v>1</v>
      </c>
      <c r="E7" s="7">
        <v>500</v>
      </c>
      <c r="F7" s="6">
        <v>1</v>
      </c>
      <c r="G7" s="7">
        <v>0</v>
      </c>
      <c r="H7" s="7" t="s">
        <v>219</v>
      </c>
      <c r="I7" s="1">
        <f t="shared" si="0"/>
        <v>600</v>
      </c>
      <c r="J7" t="s">
        <v>232</v>
      </c>
    </row>
    <row r="8" spans="1:10">
      <c r="A8" s="2" t="s">
        <v>6</v>
      </c>
      <c r="B8" s="2" t="s">
        <v>39</v>
      </c>
      <c r="C8" s="4" t="s">
        <v>78</v>
      </c>
      <c r="D8" s="4">
        <v>1</v>
      </c>
      <c r="E8" s="7">
        <v>500</v>
      </c>
      <c r="F8" s="6">
        <v>1</v>
      </c>
      <c r="G8" s="7">
        <v>1</v>
      </c>
      <c r="H8" s="7" t="s">
        <v>219</v>
      </c>
      <c r="I8" s="1">
        <f t="shared" si="0"/>
        <v>650</v>
      </c>
      <c r="J8" t="s">
        <v>232</v>
      </c>
    </row>
    <row r="9" spans="1:10">
      <c r="A9" s="2" t="s">
        <v>7</v>
      </c>
      <c r="B9" s="2" t="s">
        <v>40</v>
      </c>
      <c r="C9" s="2" t="s">
        <v>79</v>
      </c>
      <c r="D9" s="2">
        <v>1</v>
      </c>
      <c r="E9" s="7">
        <v>500</v>
      </c>
      <c r="F9" s="6">
        <v>1</v>
      </c>
      <c r="G9" s="7">
        <v>2</v>
      </c>
      <c r="H9" s="7" t="s">
        <v>220</v>
      </c>
      <c r="I9" s="1">
        <f t="shared" si="0"/>
        <v>700</v>
      </c>
      <c r="J9" t="s">
        <v>232</v>
      </c>
    </row>
    <row r="10" spans="1:10">
      <c r="A10" s="2" t="s">
        <v>8</v>
      </c>
      <c r="B10" s="2" t="s">
        <v>41</v>
      </c>
      <c r="C10" s="2" t="s">
        <v>80</v>
      </c>
      <c r="D10" s="4">
        <v>1</v>
      </c>
      <c r="E10" s="7">
        <v>500</v>
      </c>
      <c r="F10" s="6">
        <v>1</v>
      </c>
      <c r="G10" s="7">
        <v>1</v>
      </c>
      <c r="H10" s="7" t="s">
        <v>219</v>
      </c>
      <c r="I10" s="1">
        <f t="shared" si="0"/>
        <v>650</v>
      </c>
      <c r="J10" t="s">
        <v>232</v>
      </c>
    </row>
    <row r="11" spans="1:10">
      <c r="A11" s="2" t="s">
        <v>9</v>
      </c>
      <c r="B11" s="2" t="s">
        <v>42</v>
      </c>
      <c r="C11" s="2" t="s">
        <v>81</v>
      </c>
      <c r="D11" s="2">
        <v>1</v>
      </c>
      <c r="E11" s="7">
        <v>500</v>
      </c>
      <c r="F11" s="6">
        <v>0</v>
      </c>
      <c r="G11" s="7">
        <v>0</v>
      </c>
      <c r="H11" s="7" t="s">
        <v>219</v>
      </c>
      <c r="I11" s="1">
        <f t="shared" si="0"/>
        <v>500</v>
      </c>
      <c r="J11" t="s">
        <v>232</v>
      </c>
    </row>
    <row r="12" spans="1:10">
      <c r="A12" s="2" t="s">
        <v>10</v>
      </c>
      <c r="B12" s="2" t="s">
        <v>43</v>
      </c>
      <c r="C12" s="2" t="s">
        <v>82</v>
      </c>
      <c r="D12" s="4">
        <v>1</v>
      </c>
      <c r="E12" s="7">
        <v>500</v>
      </c>
      <c r="F12" s="6">
        <v>0</v>
      </c>
      <c r="G12" s="7">
        <v>0</v>
      </c>
      <c r="H12" s="7" t="s">
        <v>219</v>
      </c>
      <c r="I12" s="1">
        <f t="shared" si="0"/>
        <v>500</v>
      </c>
      <c r="J12" t="s">
        <v>232</v>
      </c>
    </row>
    <row r="13" spans="1:10">
      <c r="A13" s="2" t="s">
        <v>11</v>
      </c>
      <c r="B13" s="2" t="s">
        <v>44</v>
      </c>
      <c r="C13" s="2" t="s">
        <v>83</v>
      </c>
      <c r="D13" s="2">
        <v>1</v>
      </c>
      <c r="E13" s="7">
        <v>500</v>
      </c>
      <c r="F13" s="8">
        <v>0</v>
      </c>
      <c r="G13" s="7">
        <v>0</v>
      </c>
      <c r="H13" s="7" t="s">
        <v>221</v>
      </c>
      <c r="I13" s="1">
        <f t="shared" si="0"/>
        <v>500</v>
      </c>
      <c r="J13" t="s">
        <v>232</v>
      </c>
    </row>
    <row r="14" spans="1:10">
      <c r="A14" s="2" t="s">
        <v>12</v>
      </c>
      <c r="B14" s="2" t="s">
        <v>45</v>
      </c>
      <c r="C14" s="2" t="s">
        <v>84</v>
      </c>
      <c r="D14" s="4">
        <v>1</v>
      </c>
      <c r="E14" s="7">
        <v>500</v>
      </c>
      <c r="F14" s="6">
        <v>0</v>
      </c>
      <c r="G14" s="7">
        <v>0</v>
      </c>
      <c r="H14" s="7" t="s">
        <v>219</v>
      </c>
      <c r="I14" s="1">
        <f t="shared" si="0"/>
        <v>500</v>
      </c>
      <c r="J14" t="s">
        <v>232</v>
      </c>
    </row>
    <row r="15" spans="1:10">
      <c r="A15" s="2" t="s">
        <v>13</v>
      </c>
      <c r="B15" s="2" t="s">
        <v>217</v>
      </c>
      <c r="C15" s="2" t="s">
        <v>85</v>
      </c>
      <c r="D15" s="2">
        <v>1</v>
      </c>
      <c r="E15" s="7">
        <v>500</v>
      </c>
      <c r="F15" s="6">
        <v>0</v>
      </c>
      <c r="G15" s="7">
        <v>1</v>
      </c>
      <c r="H15" s="7" t="s">
        <v>219</v>
      </c>
      <c r="I15" s="1">
        <f t="shared" si="0"/>
        <v>550</v>
      </c>
      <c r="J15" t="s">
        <v>232</v>
      </c>
    </row>
    <row r="16" spans="1:10">
      <c r="A16" s="2" t="s">
        <v>14</v>
      </c>
      <c r="B16" s="2" t="s">
        <v>46</v>
      </c>
      <c r="C16" s="2" t="s">
        <v>86</v>
      </c>
      <c r="D16" s="4">
        <v>1</v>
      </c>
      <c r="E16" s="7">
        <v>500</v>
      </c>
      <c r="F16" s="6">
        <v>1</v>
      </c>
      <c r="G16" s="7">
        <v>1</v>
      </c>
      <c r="H16" s="7" t="s">
        <v>219</v>
      </c>
      <c r="I16" s="1">
        <f t="shared" si="0"/>
        <v>650</v>
      </c>
      <c r="J16" t="s">
        <v>232</v>
      </c>
    </row>
    <row r="17" spans="1:10">
      <c r="A17" s="2" t="s">
        <v>216</v>
      </c>
      <c r="B17" s="2" t="s">
        <v>47</v>
      </c>
      <c r="C17" s="2" t="s">
        <v>87</v>
      </c>
      <c r="D17" s="2">
        <v>1</v>
      </c>
      <c r="E17" s="7">
        <v>500</v>
      </c>
      <c r="F17" s="6">
        <v>0</v>
      </c>
      <c r="G17" s="7">
        <v>0</v>
      </c>
      <c r="H17" s="7" t="s">
        <v>221</v>
      </c>
      <c r="I17" s="1">
        <f t="shared" si="0"/>
        <v>500</v>
      </c>
      <c r="J17" t="s">
        <v>232</v>
      </c>
    </row>
    <row r="18" spans="1:10">
      <c r="A18" s="2" t="s">
        <v>16</v>
      </c>
      <c r="B18" s="2" t="s">
        <v>48</v>
      </c>
      <c r="C18" s="2" t="s">
        <v>88</v>
      </c>
      <c r="D18" s="4">
        <v>1</v>
      </c>
      <c r="E18" s="7">
        <v>500</v>
      </c>
      <c r="F18" s="6">
        <v>0</v>
      </c>
      <c r="G18" s="7">
        <v>0</v>
      </c>
      <c r="H18" s="7" t="s">
        <v>219</v>
      </c>
      <c r="I18" s="1">
        <f t="shared" si="0"/>
        <v>500</v>
      </c>
      <c r="J18" t="s">
        <v>232</v>
      </c>
    </row>
    <row r="19" spans="1:10">
      <c r="A19" s="2" t="s">
        <v>17</v>
      </c>
      <c r="B19" s="2" t="s">
        <v>49</v>
      </c>
      <c r="C19" s="2" t="s">
        <v>89</v>
      </c>
      <c r="D19" s="2">
        <v>1</v>
      </c>
      <c r="E19" s="7">
        <v>500</v>
      </c>
      <c r="F19" s="6">
        <v>0</v>
      </c>
      <c r="G19" s="7">
        <v>0</v>
      </c>
      <c r="H19" s="7" t="s">
        <v>219</v>
      </c>
      <c r="I19" s="1">
        <f t="shared" si="0"/>
        <v>500</v>
      </c>
      <c r="J19" t="s">
        <v>232</v>
      </c>
    </row>
    <row r="20" spans="1:10">
      <c r="A20" s="2" t="s">
        <v>18</v>
      </c>
      <c r="B20" s="2" t="s">
        <v>50</v>
      </c>
      <c r="C20" s="2" t="s">
        <v>90</v>
      </c>
      <c r="D20" s="4">
        <v>1</v>
      </c>
      <c r="E20" s="7">
        <v>500</v>
      </c>
      <c r="F20" s="9">
        <v>1</v>
      </c>
      <c r="G20" s="7">
        <v>1</v>
      </c>
      <c r="H20" s="7" t="s">
        <v>219</v>
      </c>
      <c r="I20" s="1">
        <f t="shared" si="0"/>
        <v>650</v>
      </c>
      <c r="J20" t="s">
        <v>232</v>
      </c>
    </row>
    <row r="21" spans="1:10">
      <c r="A21" s="2" t="s">
        <v>19</v>
      </c>
      <c r="B21" s="2" t="s">
        <v>51</v>
      </c>
      <c r="C21" s="2" t="s">
        <v>91</v>
      </c>
      <c r="D21" s="2">
        <v>1</v>
      </c>
      <c r="E21" s="7">
        <v>500</v>
      </c>
      <c r="F21" s="6">
        <v>1</v>
      </c>
      <c r="G21" s="7">
        <v>1</v>
      </c>
      <c r="H21" s="7" t="s">
        <v>220</v>
      </c>
      <c r="I21" s="1">
        <f t="shared" si="0"/>
        <v>650</v>
      </c>
      <c r="J21" t="s">
        <v>232</v>
      </c>
    </row>
    <row r="22" spans="1:10">
      <c r="A22" s="2" t="s">
        <v>20</v>
      </c>
      <c r="B22" s="2" t="s">
        <v>52</v>
      </c>
      <c r="C22" s="2" t="s">
        <v>92</v>
      </c>
      <c r="D22" s="4">
        <v>1</v>
      </c>
      <c r="E22" s="7">
        <v>500</v>
      </c>
      <c r="F22" s="10">
        <v>0</v>
      </c>
      <c r="G22" s="7">
        <v>0</v>
      </c>
      <c r="H22" s="7" t="s">
        <v>220</v>
      </c>
      <c r="I22" s="1">
        <f t="shared" si="0"/>
        <v>500</v>
      </c>
      <c r="J22" t="s">
        <v>232</v>
      </c>
    </row>
    <row r="23" spans="1:10">
      <c r="A23" s="2" t="s">
        <v>21</v>
      </c>
      <c r="B23" s="2" t="s">
        <v>52</v>
      </c>
      <c r="C23" s="2" t="s">
        <v>93</v>
      </c>
      <c r="D23" s="2">
        <v>1</v>
      </c>
      <c r="E23" s="7">
        <v>0</v>
      </c>
      <c r="F23" s="10">
        <v>0</v>
      </c>
      <c r="G23" s="7">
        <v>0</v>
      </c>
      <c r="H23" s="7" t="s">
        <v>220</v>
      </c>
      <c r="I23" s="1">
        <f t="shared" si="0"/>
        <v>0</v>
      </c>
    </row>
    <row r="24" spans="1:10">
      <c r="A24" s="2" t="s">
        <v>22</v>
      </c>
      <c r="B24" s="2" t="s">
        <v>53</v>
      </c>
      <c r="C24" s="2" t="s">
        <v>94</v>
      </c>
      <c r="D24" s="4">
        <v>1</v>
      </c>
      <c r="E24" s="7">
        <v>500</v>
      </c>
      <c r="F24" s="6">
        <v>0</v>
      </c>
      <c r="G24" s="7">
        <v>0</v>
      </c>
      <c r="H24" s="7" t="s">
        <v>219</v>
      </c>
      <c r="I24" s="1">
        <f t="shared" si="0"/>
        <v>500</v>
      </c>
      <c r="J24" t="s">
        <v>232</v>
      </c>
    </row>
    <row r="25" spans="1:10">
      <c r="A25" s="2" t="s">
        <v>23</v>
      </c>
      <c r="B25" s="2" t="s">
        <v>54</v>
      </c>
      <c r="C25" s="2" t="s">
        <v>95</v>
      </c>
      <c r="D25" s="2">
        <v>1</v>
      </c>
      <c r="E25" s="7">
        <v>500</v>
      </c>
      <c r="F25" s="6">
        <v>0</v>
      </c>
      <c r="G25" s="7">
        <v>0</v>
      </c>
      <c r="H25" s="7" t="s">
        <v>219</v>
      </c>
      <c r="I25" s="1">
        <f t="shared" si="0"/>
        <v>500</v>
      </c>
      <c r="J25" t="s">
        <v>232</v>
      </c>
    </row>
    <row r="26" spans="1:10">
      <c r="A26" s="2" t="s">
        <v>24</v>
      </c>
      <c r="B26" s="2" t="s">
        <v>55</v>
      </c>
      <c r="C26" s="2" t="s">
        <v>96</v>
      </c>
      <c r="D26" s="4">
        <v>1</v>
      </c>
      <c r="E26" s="7">
        <v>500</v>
      </c>
      <c r="F26" s="6">
        <v>0</v>
      </c>
      <c r="G26" s="7">
        <v>0</v>
      </c>
      <c r="H26" s="7" t="s">
        <v>219</v>
      </c>
      <c r="I26" s="1">
        <f t="shared" si="0"/>
        <v>500</v>
      </c>
      <c r="J26" t="s">
        <v>232</v>
      </c>
    </row>
    <row r="27" spans="1:10">
      <c r="A27" s="2" t="s">
        <v>25</v>
      </c>
      <c r="B27" s="2" t="s">
        <v>56</v>
      </c>
      <c r="C27" s="2" t="s">
        <v>97</v>
      </c>
      <c r="D27" s="2">
        <v>1</v>
      </c>
      <c r="E27" s="7">
        <v>500</v>
      </c>
      <c r="F27" s="6">
        <v>1</v>
      </c>
      <c r="G27" s="7">
        <v>1</v>
      </c>
      <c r="H27" s="7" t="s">
        <v>219</v>
      </c>
      <c r="I27" s="1">
        <f t="shared" si="0"/>
        <v>650</v>
      </c>
      <c r="J27" t="s">
        <v>232</v>
      </c>
    </row>
    <row r="28" spans="1:10">
      <c r="A28" s="2" t="s">
        <v>26</v>
      </c>
      <c r="B28" s="2" t="s">
        <v>57</v>
      </c>
      <c r="C28" s="2" t="s">
        <v>98</v>
      </c>
      <c r="D28" s="4">
        <v>1</v>
      </c>
      <c r="E28" s="7">
        <v>500</v>
      </c>
      <c r="F28" s="6">
        <v>0</v>
      </c>
      <c r="G28" s="7">
        <v>0</v>
      </c>
      <c r="H28" s="7" t="s">
        <v>219</v>
      </c>
      <c r="I28" s="1">
        <f t="shared" si="0"/>
        <v>500</v>
      </c>
      <c r="J28" t="s">
        <v>232</v>
      </c>
    </row>
    <row r="29" spans="1:10">
      <c r="A29" s="2" t="s">
        <v>27</v>
      </c>
      <c r="B29" s="2" t="s">
        <v>58</v>
      </c>
      <c r="C29" s="2" t="s">
        <v>99</v>
      </c>
      <c r="D29" s="2">
        <v>1</v>
      </c>
      <c r="E29" s="7">
        <v>500</v>
      </c>
      <c r="F29" s="6">
        <v>0</v>
      </c>
      <c r="G29" s="7">
        <v>0</v>
      </c>
      <c r="H29" s="7" t="s">
        <v>221</v>
      </c>
      <c r="I29" s="1">
        <f t="shared" si="0"/>
        <v>500</v>
      </c>
      <c r="J29" t="s">
        <v>232</v>
      </c>
    </row>
    <row r="30" spans="1:10">
      <c r="A30" s="2" t="s">
        <v>28</v>
      </c>
      <c r="B30" s="2" t="s">
        <v>58</v>
      </c>
      <c r="C30" s="2" t="s">
        <v>100</v>
      </c>
      <c r="D30" s="4">
        <v>1</v>
      </c>
      <c r="E30" s="7">
        <v>500</v>
      </c>
      <c r="F30" s="6">
        <v>0</v>
      </c>
      <c r="G30" s="7">
        <v>0</v>
      </c>
      <c r="H30" s="7" t="s">
        <v>221</v>
      </c>
      <c r="I30" s="1">
        <f t="shared" si="0"/>
        <v>500</v>
      </c>
      <c r="J30" t="s">
        <v>232</v>
      </c>
    </row>
    <row r="31" spans="1:10">
      <c r="A31" s="2" t="s">
        <v>29</v>
      </c>
      <c r="B31" s="2" t="s">
        <v>59</v>
      </c>
      <c r="C31" s="2" t="s">
        <v>101</v>
      </c>
      <c r="D31" s="2">
        <v>1</v>
      </c>
      <c r="E31" s="7">
        <v>500</v>
      </c>
      <c r="F31" s="6">
        <v>1</v>
      </c>
      <c r="G31" s="7">
        <v>0</v>
      </c>
      <c r="H31" s="7" t="s">
        <v>219</v>
      </c>
      <c r="I31" s="1">
        <f t="shared" si="0"/>
        <v>600</v>
      </c>
      <c r="J31" t="s">
        <v>232</v>
      </c>
    </row>
    <row r="32" spans="1:10">
      <c r="A32" s="2" t="s">
        <v>30</v>
      </c>
      <c r="B32" s="2" t="s">
        <v>60</v>
      </c>
      <c r="C32" s="2" t="s">
        <v>102</v>
      </c>
      <c r="D32" s="4">
        <v>1</v>
      </c>
      <c r="E32" s="7">
        <v>500</v>
      </c>
      <c r="F32" s="6">
        <v>0</v>
      </c>
      <c r="G32" s="7">
        <v>0</v>
      </c>
      <c r="H32" s="7" t="s">
        <v>219</v>
      </c>
      <c r="I32" s="1">
        <f t="shared" si="0"/>
        <v>500</v>
      </c>
      <c r="J32" t="s">
        <v>232</v>
      </c>
    </row>
    <row r="33" spans="1:10">
      <c r="A33" s="2" t="s">
        <v>31</v>
      </c>
      <c r="B33" s="2" t="s">
        <v>61</v>
      </c>
      <c r="C33" s="2" t="s">
        <v>103</v>
      </c>
      <c r="D33" s="2">
        <v>1</v>
      </c>
      <c r="E33" s="7">
        <v>500</v>
      </c>
      <c r="F33" s="6">
        <v>1</v>
      </c>
      <c r="G33" s="7">
        <v>2</v>
      </c>
      <c r="H33" s="7" t="s">
        <v>219</v>
      </c>
      <c r="I33" s="1">
        <f t="shared" si="0"/>
        <v>700</v>
      </c>
      <c r="J33" t="s">
        <v>232</v>
      </c>
    </row>
    <row r="34" spans="1:10">
      <c r="A34" s="2" t="s">
        <v>32</v>
      </c>
      <c r="B34" s="2" t="s">
        <v>62</v>
      </c>
      <c r="C34" s="2" t="s">
        <v>104</v>
      </c>
      <c r="D34" s="4">
        <v>1</v>
      </c>
      <c r="E34" s="7">
        <v>500</v>
      </c>
      <c r="F34" s="6">
        <v>1</v>
      </c>
      <c r="G34" s="7">
        <v>1</v>
      </c>
      <c r="H34" s="7" t="s">
        <v>219</v>
      </c>
      <c r="I34" s="1">
        <f t="shared" si="0"/>
        <v>650</v>
      </c>
      <c r="J34" t="s">
        <v>232</v>
      </c>
    </row>
    <row r="35" spans="1:10">
      <c r="A35" s="2" t="s">
        <v>33</v>
      </c>
      <c r="B35" s="2" t="s">
        <v>63</v>
      </c>
      <c r="C35" s="2" t="s">
        <v>105</v>
      </c>
      <c r="D35" s="2">
        <v>1</v>
      </c>
      <c r="E35" s="7">
        <v>500</v>
      </c>
      <c r="F35" s="6">
        <v>0</v>
      </c>
      <c r="G35" s="7">
        <v>0</v>
      </c>
      <c r="H35" s="7" t="s">
        <v>220</v>
      </c>
      <c r="I35" s="1">
        <f t="shared" si="0"/>
        <v>500</v>
      </c>
      <c r="J35" t="s">
        <v>232</v>
      </c>
    </row>
  </sheetData>
  <autoFilter ref="J1:J35">
    <filterColumn colId="0"/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8" sqref="A18"/>
    </sheetView>
  </sheetViews>
  <sheetFormatPr defaultRowHeight="16.5"/>
  <cols>
    <col min="1" max="1" width="54.875" customWidth="1"/>
    <col min="2" max="3" width="10.5" style="3" bestFit="1" customWidth="1"/>
  </cols>
  <sheetData>
    <row r="1" spans="1:4">
      <c r="A1" s="1" t="s">
        <v>65</v>
      </c>
      <c r="B1" s="11" t="s">
        <v>118</v>
      </c>
      <c r="C1" s="11" t="s">
        <v>119</v>
      </c>
      <c r="D1" s="1" t="s">
        <v>120</v>
      </c>
    </row>
    <row r="2" spans="1:4">
      <c r="A2" s="13" t="s">
        <v>27</v>
      </c>
      <c r="B2" s="14" t="s">
        <v>114</v>
      </c>
      <c r="C2" s="14" t="s">
        <v>122</v>
      </c>
      <c r="D2" s="15" t="s">
        <v>123</v>
      </c>
    </row>
    <row r="3" spans="1:4">
      <c r="A3" s="13" t="s">
        <v>28</v>
      </c>
      <c r="B3" s="14" t="s">
        <v>114</v>
      </c>
      <c r="C3" s="14" t="s">
        <v>122</v>
      </c>
      <c r="D3" s="15" t="s">
        <v>123</v>
      </c>
    </row>
    <row r="4" spans="1:4">
      <c r="A4" s="13" t="s">
        <v>27</v>
      </c>
      <c r="B4" s="14" t="s">
        <v>121</v>
      </c>
      <c r="C4" s="14" t="s">
        <v>117</v>
      </c>
      <c r="D4" s="15" t="s">
        <v>115</v>
      </c>
    </row>
    <row r="5" spans="1:4">
      <c r="A5" s="13" t="s">
        <v>28</v>
      </c>
      <c r="B5" s="14" t="s">
        <v>121</v>
      </c>
      <c r="C5" s="14" t="s">
        <v>117</v>
      </c>
      <c r="D5" s="15" t="s">
        <v>116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A34" sqref="A34:I34"/>
    </sheetView>
  </sheetViews>
  <sheetFormatPr defaultRowHeight="16.5"/>
  <cols>
    <col min="1" max="2" width="22.875" customWidth="1"/>
    <col min="3" max="4" width="10.5" style="3" bestFit="1" customWidth="1"/>
    <col min="7" max="7" width="31.625" bestFit="1" customWidth="1"/>
    <col min="9" max="9" width="11.625" bestFit="1" customWidth="1"/>
  </cols>
  <sheetData>
    <row r="1" spans="1:9">
      <c r="A1" s="1" t="s">
        <v>65</v>
      </c>
      <c r="B1" s="1" t="s">
        <v>213</v>
      </c>
      <c r="C1" s="11" t="s">
        <v>67</v>
      </c>
      <c r="D1" s="11" t="s">
        <v>68</v>
      </c>
      <c r="E1" s="1" t="s">
        <v>70</v>
      </c>
      <c r="F1" s="1" t="s">
        <v>71</v>
      </c>
      <c r="G1" s="1" t="s">
        <v>69</v>
      </c>
      <c r="H1" s="5" t="s">
        <v>111</v>
      </c>
      <c r="I1" s="5" t="s">
        <v>112</v>
      </c>
    </row>
    <row r="2" spans="1:9">
      <c r="A2" s="2" t="s">
        <v>0</v>
      </c>
      <c r="B2" s="2"/>
      <c r="C2" s="11" t="s">
        <v>223</v>
      </c>
      <c r="D2" s="11" t="s">
        <v>225</v>
      </c>
      <c r="E2" s="6">
        <v>1</v>
      </c>
      <c r="F2" s="12">
        <v>0</v>
      </c>
      <c r="G2" s="1" t="s">
        <v>206</v>
      </c>
      <c r="H2" s="11">
        <f>DATEDIF(C2,D2,"m")+1</f>
        <v>6</v>
      </c>
      <c r="I2" s="7">
        <f>(H2*500)+(H2*E2*100)+(H2*F2*50)</f>
        <v>3600</v>
      </c>
    </row>
    <row r="3" spans="1:9">
      <c r="A3" s="2" t="s">
        <v>1</v>
      </c>
      <c r="B3" s="2"/>
      <c r="C3" s="11" t="s">
        <v>223</v>
      </c>
      <c r="D3" s="11" t="s">
        <v>226</v>
      </c>
      <c r="E3" s="6">
        <v>0</v>
      </c>
      <c r="F3" s="12">
        <v>0</v>
      </c>
      <c r="G3" s="1" t="s">
        <v>206</v>
      </c>
      <c r="H3" s="11">
        <f t="shared" ref="H3:H34" si="0">DATEDIF(C3,D3,"m")+1</f>
        <v>12</v>
      </c>
      <c r="I3" s="7">
        <f t="shared" ref="I3:I34" si="1">(H3*500)+(H3*E3*100)+(H3*F3*50)</f>
        <v>6000</v>
      </c>
    </row>
    <row r="4" spans="1:9">
      <c r="A4" s="2" t="s">
        <v>2</v>
      </c>
      <c r="B4" s="2"/>
      <c r="C4" s="11" t="s">
        <v>222</v>
      </c>
      <c r="D4" s="11" t="s">
        <v>227</v>
      </c>
      <c r="E4" s="6">
        <v>0</v>
      </c>
      <c r="F4" s="12">
        <v>1</v>
      </c>
      <c r="G4" s="1" t="s">
        <v>206</v>
      </c>
      <c r="H4" s="11">
        <f t="shared" si="0"/>
        <v>12</v>
      </c>
      <c r="I4" s="7">
        <f t="shared" si="1"/>
        <v>6600</v>
      </c>
    </row>
    <row r="5" spans="1:9">
      <c r="A5" s="2" t="s">
        <v>3</v>
      </c>
      <c r="B5" s="2"/>
      <c r="C5" s="11" t="s">
        <v>222</v>
      </c>
      <c r="D5" s="11" t="s">
        <v>224</v>
      </c>
      <c r="E5" s="6">
        <v>0</v>
      </c>
      <c r="F5" s="12">
        <v>2</v>
      </c>
      <c r="G5" s="1" t="s">
        <v>206</v>
      </c>
      <c r="H5" s="11">
        <f t="shared" si="0"/>
        <v>6</v>
      </c>
      <c r="I5" s="7">
        <f t="shared" si="1"/>
        <v>3600</v>
      </c>
    </row>
    <row r="6" spans="1:9">
      <c r="A6" s="2" t="s">
        <v>4</v>
      </c>
      <c r="B6" s="2"/>
      <c r="C6" s="11" t="s">
        <v>222</v>
      </c>
      <c r="D6" s="11" t="s">
        <v>224</v>
      </c>
      <c r="E6" s="6">
        <v>0</v>
      </c>
      <c r="F6" s="12">
        <v>1</v>
      </c>
      <c r="G6" s="1" t="s">
        <v>206</v>
      </c>
      <c r="H6" s="11">
        <f t="shared" si="0"/>
        <v>6</v>
      </c>
      <c r="I6" s="7">
        <f t="shared" si="1"/>
        <v>3300</v>
      </c>
    </row>
    <row r="7" spans="1:9">
      <c r="A7" s="2" t="s">
        <v>5</v>
      </c>
      <c r="B7" s="2"/>
      <c r="C7" s="11" t="s">
        <v>222</v>
      </c>
      <c r="D7" s="11" t="s">
        <v>224</v>
      </c>
      <c r="E7" s="6">
        <v>1</v>
      </c>
      <c r="F7" s="12">
        <v>0</v>
      </c>
      <c r="G7" s="1" t="s">
        <v>206</v>
      </c>
      <c r="H7" s="11">
        <f t="shared" si="0"/>
        <v>6</v>
      </c>
      <c r="I7" s="7">
        <f t="shared" si="1"/>
        <v>3600</v>
      </c>
    </row>
    <row r="8" spans="1:9">
      <c r="A8" s="2" t="s">
        <v>6</v>
      </c>
      <c r="B8" s="2"/>
      <c r="C8" s="11" t="s">
        <v>222</v>
      </c>
      <c r="D8" s="11" t="s">
        <v>224</v>
      </c>
      <c r="E8" s="6">
        <v>1</v>
      </c>
      <c r="F8" s="12">
        <v>1</v>
      </c>
      <c r="G8" s="1" t="s">
        <v>206</v>
      </c>
      <c r="H8" s="11">
        <f t="shared" si="0"/>
        <v>6</v>
      </c>
      <c r="I8" s="7">
        <f t="shared" si="1"/>
        <v>3900</v>
      </c>
    </row>
    <row r="9" spans="1:9">
      <c r="A9" s="2" t="s">
        <v>7</v>
      </c>
      <c r="B9" s="2"/>
      <c r="C9" s="11" t="s">
        <v>222</v>
      </c>
      <c r="D9" s="11" t="s">
        <v>227</v>
      </c>
      <c r="E9" s="6">
        <v>1</v>
      </c>
      <c r="F9" s="12">
        <v>2</v>
      </c>
      <c r="G9" s="1" t="s">
        <v>206</v>
      </c>
      <c r="H9" s="11">
        <f t="shared" si="0"/>
        <v>12</v>
      </c>
      <c r="I9" s="7">
        <f t="shared" si="1"/>
        <v>8400</v>
      </c>
    </row>
    <row r="10" spans="1:9">
      <c r="A10" s="2" t="s">
        <v>8</v>
      </c>
      <c r="B10" s="2"/>
      <c r="C10" s="11" t="s">
        <v>222</v>
      </c>
      <c r="D10" s="11" t="s">
        <v>224</v>
      </c>
      <c r="E10" s="6">
        <v>1</v>
      </c>
      <c r="F10" s="12">
        <v>1</v>
      </c>
      <c r="G10" s="1" t="s">
        <v>206</v>
      </c>
      <c r="H10" s="11">
        <f t="shared" si="0"/>
        <v>6</v>
      </c>
      <c r="I10" s="7">
        <f t="shared" si="1"/>
        <v>3900</v>
      </c>
    </row>
    <row r="11" spans="1:9">
      <c r="A11" s="2" t="s">
        <v>9</v>
      </c>
      <c r="B11" s="2"/>
      <c r="C11" s="11" t="s">
        <v>222</v>
      </c>
      <c r="D11" s="11" t="s">
        <v>224</v>
      </c>
      <c r="E11" s="6">
        <v>0</v>
      </c>
      <c r="F11" s="12">
        <v>0</v>
      </c>
      <c r="G11" s="1" t="s">
        <v>206</v>
      </c>
      <c r="H11" s="11">
        <f t="shared" si="0"/>
        <v>6</v>
      </c>
      <c r="I11" s="7">
        <f t="shared" si="1"/>
        <v>3000</v>
      </c>
    </row>
    <row r="12" spans="1:9">
      <c r="A12" s="2" t="s">
        <v>10</v>
      </c>
      <c r="B12" s="2"/>
      <c r="C12" s="11" t="s">
        <v>222</v>
      </c>
      <c r="D12" s="11" t="s">
        <v>224</v>
      </c>
      <c r="E12" s="6">
        <v>0</v>
      </c>
      <c r="F12" s="12">
        <v>0</v>
      </c>
      <c r="G12" s="1" t="s">
        <v>206</v>
      </c>
      <c r="H12" s="11">
        <f t="shared" si="0"/>
        <v>6</v>
      </c>
      <c r="I12" s="7">
        <f t="shared" si="1"/>
        <v>3000</v>
      </c>
    </row>
    <row r="13" spans="1:9">
      <c r="A13" s="2" t="s">
        <v>11</v>
      </c>
      <c r="B13" s="2"/>
      <c r="C13" s="11" t="s">
        <v>222</v>
      </c>
      <c r="D13" s="11" t="s">
        <v>229</v>
      </c>
      <c r="E13" s="8">
        <v>0</v>
      </c>
      <c r="F13" s="12">
        <v>0</v>
      </c>
      <c r="G13" s="1" t="s">
        <v>206</v>
      </c>
      <c r="H13" s="11">
        <f t="shared" si="0"/>
        <v>1</v>
      </c>
      <c r="I13" s="7">
        <f t="shared" si="1"/>
        <v>500</v>
      </c>
    </row>
    <row r="14" spans="1:9">
      <c r="A14" s="2" t="s">
        <v>12</v>
      </c>
      <c r="B14" s="2"/>
      <c r="C14" s="11" t="s">
        <v>222</v>
      </c>
      <c r="D14" s="11" t="s">
        <v>228</v>
      </c>
      <c r="E14" s="6">
        <v>0</v>
      </c>
      <c r="F14" s="12">
        <v>0</v>
      </c>
      <c r="G14" s="1" t="s">
        <v>206</v>
      </c>
      <c r="H14" s="11">
        <f t="shared" si="0"/>
        <v>6</v>
      </c>
      <c r="I14" s="7">
        <f t="shared" si="1"/>
        <v>3000</v>
      </c>
    </row>
    <row r="15" spans="1:9">
      <c r="A15" s="2" t="s">
        <v>13</v>
      </c>
      <c r="B15" s="2"/>
      <c r="C15" s="11" t="s">
        <v>222</v>
      </c>
      <c r="D15" s="11" t="s">
        <v>224</v>
      </c>
      <c r="E15" s="6">
        <v>0</v>
      </c>
      <c r="F15" s="12">
        <v>1</v>
      </c>
      <c r="G15" s="1" t="s">
        <v>206</v>
      </c>
      <c r="H15" s="11">
        <f t="shared" si="0"/>
        <v>6</v>
      </c>
      <c r="I15" s="7">
        <f t="shared" si="1"/>
        <v>3300</v>
      </c>
    </row>
    <row r="16" spans="1:9">
      <c r="A16" s="2" t="s">
        <v>14</v>
      </c>
      <c r="B16" s="2"/>
      <c r="C16" s="11" t="s">
        <v>222</v>
      </c>
      <c r="D16" s="11" t="s">
        <v>224</v>
      </c>
      <c r="E16" s="6">
        <v>1</v>
      </c>
      <c r="F16" s="12">
        <v>1</v>
      </c>
      <c r="G16" s="1" t="s">
        <v>206</v>
      </c>
      <c r="H16" s="11">
        <f t="shared" si="0"/>
        <v>6</v>
      </c>
      <c r="I16" s="7">
        <f t="shared" si="1"/>
        <v>3900</v>
      </c>
    </row>
    <row r="17" spans="1:9">
      <c r="A17" s="2" t="s">
        <v>15</v>
      </c>
      <c r="B17" s="2"/>
      <c r="C17" s="11" t="s">
        <v>222</v>
      </c>
      <c r="D17" s="11" t="s">
        <v>229</v>
      </c>
      <c r="E17" s="6">
        <v>0</v>
      </c>
      <c r="F17" s="12">
        <v>0</v>
      </c>
      <c r="G17" s="1" t="s">
        <v>206</v>
      </c>
      <c r="H17" s="11">
        <f t="shared" si="0"/>
        <v>1</v>
      </c>
      <c r="I17" s="7">
        <f t="shared" si="1"/>
        <v>500</v>
      </c>
    </row>
    <row r="18" spans="1:9">
      <c r="A18" s="2" t="s">
        <v>230</v>
      </c>
      <c r="B18" s="2"/>
      <c r="C18" s="11" t="s">
        <v>222</v>
      </c>
      <c r="D18" s="11" t="s">
        <v>224</v>
      </c>
      <c r="E18" s="6">
        <v>0</v>
      </c>
      <c r="F18" s="12">
        <v>0</v>
      </c>
      <c r="G18" s="1" t="s">
        <v>206</v>
      </c>
      <c r="H18" s="11">
        <f t="shared" ref="H18" si="2">DATEDIF(C18,D18,"m")+1</f>
        <v>6</v>
      </c>
      <c r="I18" s="7">
        <f t="shared" ref="I18" si="3">(H18*500)+(H18*E18*100)+(H18*F18*50)</f>
        <v>3000</v>
      </c>
    </row>
    <row r="19" spans="1:9">
      <c r="A19" s="2" t="s">
        <v>17</v>
      </c>
      <c r="B19" s="2"/>
      <c r="C19" s="11" t="s">
        <v>222</v>
      </c>
      <c r="D19" s="11" t="s">
        <v>224</v>
      </c>
      <c r="E19" s="6">
        <v>0</v>
      </c>
      <c r="F19" s="12">
        <v>0</v>
      </c>
      <c r="G19" s="1" t="s">
        <v>206</v>
      </c>
      <c r="H19" s="11">
        <f t="shared" si="0"/>
        <v>6</v>
      </c>
      <c r="I19" s="7">
        <f t="shared" si="1"/>
        <v>3000</v>
      </c>
    </row>
    <row r="20" spans="1:9">
      <c r="A20" s="2" t="s">
        <v>18</v>
      </c>
      <c r="B20" s="2"/>
      <c r="C20" s="11" t="s">
        <v>222</v>
      </c>
      <c r="D20" s="11" t="s">
        <v>224</v>
      </c>
      <c r="E20" s="9">
        <v>1</v>
      </c>
      <c r="F20" s="12">
        <v>1</v>
      </c>
      <c r="G20" s="1" t="s">
        <v>206</v>
      </c>
      <c r="H20" s="11">
        <f t="shared" si="0"/>
        <v>6</v>
      </c>
      <c r="I20" s="7">
        <f t="shared" si="1"/>
        <v>3900</v>
      </c>
    </row>
    <row r="21" spans="1:9">
      <c r="A21" s="2" t="s">
        <v>19</v>
      </c>
      <c r="B21" s="2"/>
      <c r="C21" s="11" t="s">
        <v>222</v>
      </c>
      <c r="D21" s="11" t="s">
        <v>227</v>
      </c>
      <c r="E21" s="6">
        <v>1</v>
      </c>
      <c r="F21" s="12">
        <v>1</v>
      </c>
      <c r="G21" s="1" t="s">
        <v>206</v>
      </c>
      <c r="H21" s="11">
        <f t="shared" si="0"/>
        <v>12</v>
      </c>
      <c r="I21" s="7">
        <f t="shared" si="1"/>
        <v>7800</v>
      </c>
    </row>
    <row r="22" spans="1:9">
      <c r="A22" s="2" t="s">
        <v>20</v>
      </c>
      <c r="B22" s="2"/>
      <c r="C22" s="11" t="s">
        <v>222</v>
      </c>
      <c r="D22" s="11" t="s">
        <v>228</v>
      </c>
      <c r="E22" s="10">
        <v>0</v>
      </c>
      <c r="F22" s="12">
        <v>0</v>
      </c>
      <c r="G22" s="1" t="s">
        <v>206</v>
      </c>
      <c r="H22" s="11">
        <f t="shared" si="0"/>
        <v>6</v>
      </c>
      <c r="I22" s="7">
        <f t="shared" si="1"/>
        <v>3000</v>
      </c>
    </row>
    <row r="23" spans="1:9">
      <c r="A23" s="2" t="s">
        <v>22</v>
      </c>
      <c r="B23" s="2"/>
      <c r="C23" s="11" t="s">
        <v>222</v>
      </c>
      <c r="D23" s="11" t="s">
        <v>224</v>
      </c>
      <c r="E23" s="6">
        <v>0</v>
      </c>
      <c r="F23" s="12">
        <v>0</v>
      </c>
      <c r="G23" s="1" t="s">
        <v>206</v>
      </c>
      <c r="H23" s="11">
        <f t="shared" si="0"/>
        <v>6</v>
      </c>
      <c r="I23" s="7">
        <f t="shared" si="1"/>
        <v>3000</v>
      </c>
    </row>
    <row r="24" spans="1:9">
      <c r="A24" s="2" t="s">
        <v>23</v>
      </c>
      <c r="B24" s="2"/>
      <c r="C24" s="11" t="s">
        <v>222</v>
      </c>
      <c r="D24" s="11" t="s">
        <v>224</v>
      </c>
      <c r="E24" s="6">
        <v>0</v>
      </c>
      <c r="F24" s="12">
        <v>0</v>
      </c>
      <c r="G24" s="1" t="s">
        <v>206</v>
      </c>
      <c r="H24" s="11">
        <f t="shared" si="0"/>
        <v>6</v>
      </c>
      <c r="I24" s="7">
        <f t="shared" si="1"/>
        <v>3000</v>
      </c>
    </row>
    <row r="25" spans="1:9">
      <c r="A25" s="2" t="s">
        <v>24</v>
      </c>
      <c r="B25" s="2"/>
      <c r="C25" s="11" t="s">
        <v>222</v>
      </c>
      <c r="D25" s="11" t="s">
        <v>224</v>
      </c>
      <c r="E25" s="6">
        <v>0</v>
      </c>
      <c r="F25" s="12">
        <v>0</v>
      </c>
      <c r="G25" s="1" t="s">
        <v>206</v>
      </c>
      <c r="H25" s="11">
        <f t="shared" si="0"/>
        <v>6</v>
      </c>
      <c r="I25" s="7">
        <f t="shared" si="1"/>
        <v>3000</v>
      </c>
    </row>
    <row r="26" spans="1:9">
      <c r="A26" s="2" t="s">
        <v>25</v>
      </c>
      <c r="B26" s="2"/>
      <c r="C26" s="11" t="s">
        <v>222</v>
      </c>
      <c r="D26" s="11" t="s">
        <v>224</v>
      </c>
      <c r="E26" s="6">
        <v>1</v>
      </c>
      <c r="F26" s="12">
        <v>1</v>
      </c>
      <c r="G26" s="1" t="s">
        <v>206</v>
      </c>
      <c r="H26" s="11">
        <f t="shared" si="0"/>
        <v>6</v>
      </c>
      <c r="I26" s="7">
        <f t="shared" si="1"/>
        <v>3900</v>
      </c>
    </row>
    <row r="27" spans="1:9">
      <c r="A27" s="2" t="s">
        <v>26</v>
      </c>
      <c r="B27" s="2"/>
      <c r="C27" s="11" t="s">
        <v>222</v>
      </c>
      <c r="D27" s="11" t="s">
        <v>224</v>
      </c>
      <c r="E27" s="6">
        <v>0</v>
      </c>
      <c r="F27" s="12">
        <v>0</v>
      </c>
      <c r="G27" s="1" t="s">
        <v>206</v>
      </c>
      <c r="H27" s="11">
        <f t="shared" si="0"/>
        <v>6</v>
      </c>
      <c r="I27" s="7">
        <f t="shared" si="1"/>
        <v>3000</v>
      </c>
    </row>
    <row r="28" spans="1:9">
      <c r="A28" s="17" t="s">
        <v>27</v>
      </c>
      <c r="B28" s="17" t="s">
        <v>215</v>
      </c>
      <c r="C28" s="11" t="s">
        <v>222</v>
      </c>
      <c r="D28" s="11" t="s">
        <v>231</v>
      </c>
      <c r="E28" s="18">
        <v>0</v>
      </c>
      <c r="F28" s="18">
        <v>0</v>
      </c>
      <c r="G28" s="5" t="s">
        <v>206</v>
      </c>
      <c r="H28" s="19">
        <f t="shared" ref="H28:H29" si="4">DATEDIF(C28,D28,"m")+1</f>
        <v>1</v>
      </c>
      <c r="I28" s="20">
        <f t="shared" ref="I28:I29" si="5">(H28*500)+(H28*E28*100)+(H28*F28*50)</f>
        <v>500</v>
      </c>
    </row>
    <row r="29" spans="1:9">
      <c r="A29" s="17" t="s">
        <v>28</v>
      </c>
      <c r="B29" s="17" t="s">
        <v>214</v>
      </c>
      <c r="C29" s="11" t="s">
        <v>222</v>
      </c>
      <c r="D29" s="11" t="s">
        <v>231</v>
      </c>
      <c r="E29" s="18">
        <v>0</v>
      </c>
      <c r="F29" s="18">
        <v>0</v>
      </c>
      <c r="G29" s="5" t="s">
        <v>206</v>
      </c>
      <c r="H29" s="19">
        <f t="shared" si="4"/>
        <v>1</v>
      </c>
      <c r="I29" s="20">
        <f t="shared" si="5"/>
        <v>500</v>
      </c>
    </row>
    <row r="30" spans="1:9">
      <c r="A30" s="2" t="s">
        <v>29</v>
      </c>
      <c r="B30" s="2"/>
      <c r="C30" s="11" t="s">
        <v>222</v>
      </c>
      <c r="D30" s="11" t="s">
        <v>224</v>
      </c>
      <c r="E30" s="6">
        <v>1</v>
      </c>
      <c r="F30" s="12">
        <v>0</v>
      </c>
      <c r="G30" s="1" t="s">
        <v>206</v>
      </c>
      <c r="H30" s="11">
        <f t="shared" si="0"/>
        <v>6</v>
      </c>
      <c r="I30" s="7">
        <f t="shared" si="1"/>
        <v>3600</v>
      </c>
    </row>
    <row r="31" spans="1:9">
      <c r="A31" s="2" t="s">
        <v>205</v>
      </c>
      <c r="B31" s="2"/>
      <c r="C31" s="11" t="s">
        <v>222</v>
      </c>
      <c r="D31" s="11" t="s">
        <v>224</v>
      </c>
      <c r="E31" s="6">
        <v>0</v>
      </c>
      <c r="F31" s="12">
        <v>0</v>
      </c>
      <c r="G31" s="1" t="s">
        <v>206</v>
      </c>
      <c r="H31" s="11">
        <f t="shared" si="0"/>
        <v>6</v>
      </c>
      <c r="I31" s="7">
        <f t="shared" si="1"/>
        <v>3000</v>
      </c>
    </row>
    <row r="32" spans="1:9">
      <c r="A32" s="2" t="s">
        <v>31</v>
      </c>
      <c r="B32" s="2"/>
      <c r="C32" s="11" t="s">
        <v>222</v>
      </c>
      <c r="D32" s="11" t="s">
        <v>224</v>
      </c>
      <c r="E32" s="6">
        <v>1</v>
      </c>
      <c r="F32" s="12">
        <v>2</v>
      </c>
      <c r="G32" s="1" t="s">
        <v>206</v>
      </c>
      <c r="H32" s="11">
        <f t="shared" si="0"/>
        <v>6</v>
      </c>
      <c r="I32" s="7">
        <f t="shared" si="1"/>
        <v>4200</v>
      </c>
    </row>
    <row r="33" spans="1:9">
      <c r="A33" s="2" t="s">
        <v>32</v>
      </c>
      <c r="B33" s="2"/>
      <c r="C33" s="11" t="s">
        <v>222</v>
      </c>
      <c r="D33" s="11" t="s">
        <v>224</v>
      </c>
      <c r="E33" s="6">
        <v>1</v>
      </c>
      <c r="F33" s="12">
        <v>1</v>
      </c>
      <c r="G33" s="1" t="s">
        <v>206</v>
      </c>
      <c r="H33" s="11">
        <f t="shared" si="0"/>
        <v>6</v>
      </c>
      <c r="I33" s="7">
        <f t="shared" si="1"/>
        <v>3900</v>
      </c>
    </row>
    <row r="34" spans="1:9">
      <c r="A34" s="2" t="s">
        <v>33</v>
      </c>
      <c r="B34" s="2"/>
      <c r="C34" s="11" t="s">
        <v>222</v>
      </c>
      <c r="D34" s="11" t="s">
        <v>227</v>
      </c>
      <c r="E34" s="6">
        <v>0</v>
      </c>
      <c r="F34" s="12">
        <v>0</v>
      </c>
      <c r="G34" s="1" t="s">
        <v>206</v>
      </c>
      <c r="H34" s="11">
        <f t="shared" si="0"/>
        <v>12</v>
      </c>
      <c r="I34" s="7">
        <f t="shared" si="1"/>
        <v>6000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"/>
  <sheetViews>
    <sheetView workbookViewId="0">
      <selection activeCell="E3" sqref="E3"/>
    </sheetView>
  </sheetViews>
  <sheetFormatPr defaultRowHeight="16.5"/>
  <cols>
    <col min="2" max="2" width="10.5" style="3" bestFit="1" customWidth="1"/>
    <col min="3" max="3" width="9" style="3"/>
    <col min="4" max="4" width="9" style="16"/>
  </cols>
  <sheetData>
    <row r="1" spans="1:5">
      <c r="A1" t="s">
        <v>125</v>
      </c>
      <c r="B1" s="3" t="s">
        <v>126</v>
      </c>
      <c r="C1" s="3" t="s">
        <v>127</v>
      </c>
      <c r="D1" s="16" t="s">
        <v>128</v>
      </c>
      <c r="E1" t="s">
        <v>129</v>
      </c>
    </row>
    <row r="2" spans="1:5">
      <c r="A2" t="s">
        <v>72</v>
      </c>
      <c r="D2" s="16" t="s">
        <v>210</v>
      </c>
      <c r="E2" t="s">
        <v>211</v>
      </c>
    </row>
    <row r="3" spans="1:5">
      <c r="A3" t="s">
        <v>73</v>
      </c>
      <c r="B3" s="3" t="s">
        <v>139</v>
      </c>
      <c r="C3" s="3" t="s">
        <v>132</v>
      </c>
      <c r="E3" t="s">
        <v>142</v>
      </c>
    </row>
    <row r="4" spans="1:5">
      <c r="A4" t="s">
        <v>73</v>
      </c>
      <c r="B4" s="3" t="s">
        <v>140</v>
      </c>
      <c r="C4" s="3" t="s">
        <v>132</v>
      </c>
      <c r="E4" t="s">
        <v>142</v>
      </c>
    </row>
    <row r="5" spans="1:5">
      <c r="A5" t="s">
        <v>73</v>
      </c>
      <c r="B5" s="3" t="s">
        <v>141</v>
      </c>
      <c r="C5" s="3" t="s">
        <v>132</v>
      </c>
      <c r="E5" t="s">
        <v>142</v>
      </c>
    </row>
    <row r="6" spans="1:5">
      <c r="A6" t="s">
        <v>74</v>
      </c>
    </row>
    <row r="7" spans="1:5">
      <c r="A7" t="s">
        <v>75</v>
      </c>
      <c r="B7" s="3" t="s">
        <v>136</v>
      </c>
      <c r="C7" s="3" t="s">
        <v>132</v>
      </c>
      <c r="D7" s="16" t="s">
        <v>138</v>
      </c>
      <c r="E7" t="s">
        <v>134</v>
      </c>
    </row>
    <row r="8" spans="1:5">
      <c r="A8" t="s">
        <v>75</v>
      </c>
      <c r="B8" s="3" t="s">
        <v>137</v>
      </c>
      <c r="C8" s="3" t="s">
        <v>132</v>
      </c>
      <c r="E8" t="s">
        <v>134</v>
      </c>
    </row>
    <row r="9" spans="1:5">
      <c r="A9" t="s">
        <v>76</v>
      </c>
      <c r="B9" s="3" t="s">
        <v>143</v>
      </c>
      <c r="C9" s="3" t="s">
        <v>132</v>
      </c>
      <c r="D9" s="16" t="s">
        <v>148</v>
      </c>
      <c r="E9" t="s">
        <v>134</v>
      </c>
    </row>
    <row r="10" spans="1:5">
      <c r="A10" t="s">
        <v>76</v>
      </c>
      <c r="B10" s="3" t="s">
        <v>144</v>
      </c>
      <c r="C10" s="3" t="s">
        <v>132</v>
      </c>
      <c r="E10" t="s">
        <v>142</v>
      </c>
    </row>
    <row r="11" spans="1:5">
      <c r="A11" t="s">
        <v>76</v>
      </c>
      <c r="B11" s="3" t="s">
        <v>145</v>
      </c>
      <c r="C11" s="3" t="s">
        <v>132</v>
      </c>
      <c r="E11" t="s">
        <v>142</v>
      </c>
    </row>
    <row r="12" spans="1:5">
      <c r="A12" t="s">
        <v>77</v>
      </c>
      <c r="B12" s="3" t="s">
        <v>153</v>
      </c>
      <c r="C12" s="3" t="s">
        <v>132</v>
      </c>
      <c r="D12" s="16" t="s">
        <v>155</v>
      </c>
      <c r="E12" t="s">
        <v>134</v>
      </c>
    </row>
    <row r="13" spans="1:5">
      <c r="A13" t="s">
        <v>77</v>
      </c>
      <c r="B13" s="3" t="s">
        <v>154</v>
      </c>
      <c r="C13" s="3" t="s">
        <v>133</v>
      </c>
      <c r="D13" s="16" t="s">
        <v>155</v>
      </c>
      <c r="E13" t="s">
        <v>134</v>
      </c>
    </row>
    <row r="14" spans="1:5">
      <c r="A14" t="s">
        <v>78</v>
      </c>
      <c r="B14" s="3" t="s">
        <v>146</v>
      </c>
      <c r="C14" s="3" t="s">
        <v>133</v>
      </c>
      <c r="D14" s="16" t="s">
        <v>149</v>
      </c>
      <c r="E14" t="s">
        <v>134</v>
      </c>
    </row>
    <row r="15" spans="1:5">
      <c r="A15" t="s">
        <v>78</v>
      </c>
      <c r="B15" s="3" t="s">
        <v>147</v>
      </c>
      <c r="C15" s="3" t="s">
        <v>132</v>
      </c>
      <c r="E15" t="s">
        <v>134</v>
      </c>
    </row>
    <row r="16" spans="1:5">
      <c r="A16" t="s">
        <v>78</v>
      </c>
      <c r="B16" s="3" t="s">
        <v>150</v>
      </c>
      <c r="C16" s="3" t="s">
        <v>132</v>
      </c>
      <c r="E16" t="s">
        <v>142</v>
      </c>
    </row>
    <row r="17" spans="1:6">
      <c r="A17" t="s">
        <v>124</v>
      </c>
    </row>
    <row r="18" spans="1:6">
      <c r="A18" t="s">
        <v>79</v>
      </c>
      <c r="B18" s="3" t="s">
        <v>156</v>
      </c>
      <c r="C18" s="3" t="s">
        <v>132</v>
      </c>
      <c r="D18" s="16" t="s">
        <v>159</v>
      </c>
      <c r="E18" t="s">
        <v>134</v>
      </c>
    </row>
    <row r="19" spans="1:6">
      <c r="A19" t="s">
        <v>79</v>
      </c>
      <c r="B19" s="3" t="s">
        <v>157</v>
      </c>
      <c r="C19" s="3" t="s">
        <v>132</v>
      </c>
      <c r="D19" s="16" t="s">
        <v>160</v>
      </c>
      <c r="E19" t="s">
        <v>134</v>
      </c>
    </row>
    <row r="20" spans="1:6">
      <c r="A20" t="s">
        <v>79</v>
      </c>
      <c r="B20" s="3" t="s">
        <v>158</v>
      </c>
      <c r="C20" s="3" t="s">
        <v>133</v>
      </c>
      <c r="D20" s="16" t="s">
        <v>161</v>
      </c>
      <c r="E20" t="s">
        <v>134</v>
      </c>
    </row>
    <row r="21" spans="1:6">
      <c r="A21" t="s">
        <v>113</v>
      </c>
      <c r="B21" s="3" t="s">
        <v>130</v>
      </c>
      <c r="C21" s="3" t="s">
        <v>132</v>
      </c>
      <c r="D21" s="16">
        <v>20</v>
      </c>
      <c r="E21" t="s">
        <v>134</v>
      </c>
    </row>
    <row r="22" spans="1:6">
      <c r="A22" t="s">
        <v>113</v>
      </c>
      <c r="B22" s="3" t="s">
        <v>131</v>
      </c>
      <c r="C22" s="3" t="s">
        <v>133</v>
      </c>
      <c r="D22" s="16" t="s">
        <v>135</v>
      </c>
      <c r="E22" t="s">
        <v>134</v>
      </c>
    </row>
    <row r="23" spans="1:6">
      <c r="A23" t="s">
        <v>81</v>
      </c>
      <c r="C23" s="3" t="s">
        <v>132</v>
      </c>
      <c r="E23" t="s">
        <v>142</v>
      </c>
      <c r="F23" t="s">
        <v>196</v>
      </c>
    </row>
    <row r="24" spans="1:6">
      <c r="A24" t="s">
        <v>82</v>
      </c>
    </row>
    <row r="25" spans="1:6">
      <c r="A25" t="s">
        <v>83</v>
      </c>
    </row>
    <row r="26" spans="1:6">
      <c r="A26" t="s">
        <v>84</v>
      </c>
      <c r="B26" s="3" t="s">
        <v>151</v>
      </c>
      <c r="C26" s="3" t="s">
        <v>132</v>
      </c>
      <c r="E26" t="s">
        <v>142</v>
      </c>
    </row>
    <row r="27" spans="1:6">
      <c r="A27" t="s">
        <v>84</v>
      </c>
      <c r="B27" s="3" t="s">
        <v>152</v>
      </c>
      <c r="C27" s="3" t="s">
        <v>132</v>
      </c>
      <c r="E27" t="s">
        <v>142</v>
      </c>
    </row>
    <row r="28" spans="1:6">
      <c r="A28" t="s">
        <v>85</v>
      </c>
      <c r="B28" s="3" t="s">
        <v>198</v>
      </c>
      <c r="C28" s="3" t="s">
        <v>132</v>
      </c>
      <c r="D28" s="16" t="s">
        <v>199</v>
      </c>
      <c r="E28" t="s">
        <v>134</v>
      </c>
    </row>
    <row r="29" spans="1:6">
      <c r="A29" t="s">
        <v>85</v>
      </c>
      <c r="B29" s="3" t="s">
        <v>201</v>
      </c>
      <c r="C29" s="3" t="s">
        <v>132</v>
      </c>
      <c r="E29" t="s">
        <v>142</v>
      </c>
    </row>
    <row r="30" spans="1:6">
      <c r="A30" t="s">
        <v>85</v>
      </c>
      <c r="B30" s="3" t="s">
        <v>202</v>
      </c>
      <c r="C30" s="3" t="s">
        <v>132</v>
      </c>
      <c r="E30" t="s">
        <v>142</v>
      </c>
    </row>
    <row r="31" spans="1:6">
      <c r="A31" t="s">
        <v>85</v>
      </c>
      <c r="B31" s="3" t="s">
        <v>203</v>
      </c>
      <c r="C31" s="3" t="s">
        <v>132</v>
      </c>
      <c r="E31" t="s">
        <v>142</v>
      </c>
    </row>
    <row r="32" spans="1:6">
      <c r="A32" t="s">
        <v>86</v>
      </c>
      <c r="B32" s="3" t="s">
        <v>173</v>
      </c>
      <c r="C32" s="3" t="s">
        <v>133</v>
      </c>
      <c r="D32" s="16" t="s">
        <v>148</v>
      </c>
      <c r="E32" t="s">
        <v>134</v>
      </c>
    </row>
    <row r="33" spans="1:6">
      <c r="A33" t="s">
        <v>86</v>
      </c>
      <c r="B33" s="3" t="s">
        <v>174</v>
      </c>
      <c r="C33" s="3" t="s">
        <v>132</v>
      </c>
      <c r="D33" s="16" t="s">
        <v>176</v>
      </c>
      <c r="E33" t="s">
        <v>134</v>
      </c>
    </row>
    <row r="34" spans="1:6">
      <c r="A34" t="s">
        <v>86</v>
      </c>
      <c r="B34" s="3" t="s">
        <v>175</v>
      </c>
      <c r="C34" s="3" t="s">
        <v>132</v>
      </c>
      <c r="E34" t="s">
        <v>142</v>
      </c>
    </row>
    <row r="35" spans="1:6">
      <c r="A35" t="s">
        <v>87</v>
      </c>
      <c r="B35" s="3" t="s">
        <v>193</v>
      </c>
      <c r="C35" s="3" t="s">
        <v>132</v>
      </c>
      <c r="E35" t="s">
        <v>142</v>
      </c>
    </row>
    <row r="36" spans="1:6">
      <c r="A36" t="s">
        <v>87</v>
      </c>
      <c r="B36" s="3" t="s">
        <v>194</v>
      </c>
      <c r="C36" s="3" t="s">
        <v>132</v>
      </c>
      <c r="E36" t="s">
        <v>142</v>
      </c>
    </row>
    <row r="37" spans="1:6">
      <c r="A37" t="s">
        <v>87</v>
      </c>
      <c r="B37" s="3" t="s">
        <v>197</v>
      </c>
      <c r="C37" s="3" t="s">
        <v>132</v>
      </c>
      <c r="E37" t="s">
        <v>142</v>
      </c>
    </row>
    <row r="38" spans="1:6">
      <c r="A38" t="s">
        <v>110</v>
      </c>
      <c r="C38" s="3" t="s">
        <v>195</v>
      </c>
      <c r="E38" t="s">
        <v>142</v>
      </c>
      <c r="F38" t="s">
        <v>196</v>
      </c>
    </row>
    <row r="39" spans="1:6">
      <c r="A39" t="s">
        <v>88</v>
      </c>
      <c r="B39" s="3" t="s">
        <v>191</v>
      </c>
      <c r="C39" s="3" t="s">
        <v>132</v>
      </c>
      <c r="E39" t="s">
        <v>142</v>
      </c>
    </row>
    <row r="40" spans="1:6">
      <c r="A40" t="s">
        <v>88</v>
      </c>
      <c r="B40" s="3" t="s">
        <v>192</v>
      </c>
      <c r="C40" s="3" t="s">
        <v>132</v>
      </c>
      <c r="E40" t="s">
        <v>142</v>
      </c>
    </row>
    <row r="41" spans="1:6">
      <c r="A41" t="s">
        <v>88</v>
      </c>
      <c r="B41" s="3" t="s">
        <v>204</v>
      </c>
      <c r="C41" s="3" t="s">
        <v>132</v>
      </c>
      <c r="E41" t="s">
        <v>142</v>
      </c>
      <c r="F41" t="s">
        <v>196</v>
      </c>
    </row>
    <row r="42" spans="1:6">
      <c r="A42" t="s">
        <v>89</v>
      </c>
      <c r="B42" s="3" t="s">
        <v>181</v>
      </c>
      <c r="C42" s="3" t="s">
        <v>132</v>
      </c>
      <c r="E42" t="s">
        <v>142</v>
      </c>
    </row>
    <row r="43" spans="1:6">
      <c r="A43" t="s">
        <v>89</v>
      </c>
      <c r="B43" s="3" t="s">
        <v>190</v>
      </c>
      <c r="C43" s="3" t="s">
        <v>132</v>
      </c>
      <c r="E43" t="s">
        <v>142</v>
      </c>
    </row>
    <row r="44" spans="1:6">
      <c r="A44" t="s">
        <v>90</v>
      </c>
    </row>
    <row r="45" spans="1:6">
      <c r="A45" t="s">
        <v>91</v>
      </c>
      <c r="B45" s="3" t="s">
        <v>166</v>
      </c>
      <c r="C45" s="3" t="s">
        <v>133</v>
      </c>
      <c r="D45" s="16" t="s">
        <v>169</v>
      </c>
      <c r="E45" t="s">
        <v>134</v>
      </c>
    </row>
    <row r="46" spans="1:6">
      <c r="A46" t="s">
        <v>91</v>
      </c>
      <c r="B46" s="3" t="s">
        <v>167</v>
      </c>
      <c r="C46" s="3" t="s">
        <v>132</v>
      </c>
      <c r="D46" s="16" t="s">
        <v>170</v>
      </c>
      <c r="E46" t="s">
        <v>134</v>
      </c>
    </row>
    <row r="47" spans="1:6">
      <c r="A47" t="s">
        <v>91</v>
      </c>
      <c r="B47" s="3" t="s">
        <v>168</v>
      </c>
      <c r="C47" s="3" t="s">
        <v>132</v>
      </c>
      <c r="E47" t="s">
        <v>142</v>
      </c>
    </row>
    <row r="48" spans="1:6">
      <c r="A48" t="s">
        <v>92</v>
      </c>
      <c r="B48" s="3" t="s">
        <v>200</v>
      </c>
      <c r="C48" s="3" t="s">
        <v>132</v>
      </c>
      <c r="E48" t="s">
        <v>142</v>
      </c>
    </row>
    <row r="49" spans="1:5">
      <c r="A49" t="s">
        <v>93</v>
      </c>
    </row>
    <row r="50" spans="1:5">
      <c r="A50" t="s">
        <v>94</v>
      </c>
      <c r="B50" s="3" t="s">
        <v>188</v>
      </c>
      <c r="C50" s="3" t="s">
        <v>132</v>
      </c>
      <c r="E50" t="s">
        <v>142</v>
      </c>
    </row>
    <row r="51" spans="1:5">
      <c r="A51" t="s">
        <v>94</v>
      </c>
      <c r="B51" s="3" t="s">
        <v>189</v>
      </c>
      <c r="C51" s="3" t="s">
        <v>132</v>
      </c>
      <c r="E51" t="s">
        <v>142</v>
      </c>
    </row>
    <row r="52" spans="1:5">
      <c r="A52" t="s">
        <v>95</v>
      </c>
      <c r="B52" s="3" t="s">
        <v>171</v>
      </c>
      <c r="C52" s="3" t="s">
        <v>132</v>
      </c>
      <c r="E52" t="s">
        <v>142</v>
      </c>
    </row>
    <row r="53" spans="1:5">
      <c r="A53" t="s">
        <v>95</v>
      </c>
      <c r="B53" s="3" t="s">
        <v>172</v>
      </c>
      <c r="C53" s="3" t="s">
        <v>132</v>
      </c>
      <c r="E53" t="s">
        <v>142</v>
      </c>
    </row>
    <row r="54" spans="1:5">
      <c r="A54" t="s">
        <v>96</v>
      </c>
      <c r="B54" s="3" t="s">
        <v>186</v>
      </c>
      <c r="C54" s="3" t="s">
        <v>132</v>
      </c>
      <c r="E54" t="s">
        <v>142</v>
      </c>
    </row>
    <row r="55" spans="1:5">
      <c r="A55" t="s">
        <v>96</v>
      </c>
      <c r="B55" s="3" t="s">
        <v>187</v>
      </c>
      <c r="C55" s="3" t="s">
        <v>132</v>
      </c>
      <c r="E55" t="s">
        <v>142</v>
      </c>
    </row>
    <row r="57" spans="1:5">
      <c r="A57" t="s">
        <v>97</v>
      </c>
    </row>
    <row r="58" spans="1:5">
      <c r="A58" t="s">
        <v>98</v>
      </c>
      <c r="B58" s="3" t="s">
        <v>177</v>
      </c>
      <c r="C58" s="3" t="s">
        <v>132</v>
      </c>
      <c r="E58" t="s">
        <v>142</v>
      </c>
    </row>
    <row r="59" spans="1:5">
      <c r="A59" t="s">
        <v>98</v>
      </c>
      <c r="B59" s="3" t="s">
        <v>178</v>
      </c>
      <c r="C59" s="3" t="s">
        <v>132</v>
      </c>
      <c r="E59" t="s">
        <v>142</v>
      </c>
    </row>
    <row r="60" spans="1:5">
      <c r="A60" t="s">
        <v>98</v>
      </c>
      <c r="B60" s="3" t="s">
        <v>179</v>
      </c>
      <c r="C60" s="3" t="s">
        <v>133</v>
      </c>
      <c r="D60" s="16" t="s">
        <v>180</v>
      </c>
      <c r="E60" t="s">
        <v>134</v>
      </c>
    </row>
    <row r="61" spans="1:5">
      <c r="A61" t="s">
        <v>99</v>
      </c>
      <c r="B61" s="3" t="s">
        <v>164</v>
      </c>
      <c r="C61" s="3" t="s">
        <v>132</v>
      </c>
      <c r="E61" t="s">
        <v>142</v>
      </c>
    </row>
    <row r="62" spans="1:5">
      <c r="A62" t="s">
        <v>99</v>
      </c>
      <c r="B62" s="3" t="s">
        <v>165</v>
      </c>
      <c r="C62" s="3" t="s">
        <v>132</v>
      </c>
      <c r="E62" t="s">
        <v>142</v>
      </c>
    </row>
    <row r="63" spans="1:5">
      <c r="A63" t="s">
        <v>100</v>
      </c>
    </row>
    <row r="64" spans="1:5">
      <c r="A64" t="s">
        <v>101</v>
      </c>
    </row>
    <row r="65" spans="1:5">
      <c r="A65" t="s">
        <v>102</v>
      </c>
      <c r="B65" s="3" t="s">
        <v>162</v>
      </c>
      <c r="C65" s="3" t="s">
        <v>132</v>
      </c>
      <c r="E65" t="s">
        <v>142</v>
      </c>
    </row>
    <row r="66" spans="1:5">
      <c r="A66" t="s">
        <v>102</v>
      </c>
      <c r="B66" s="3" t="s">
        <v>163</v>
      </c>
      <c r="C66" s="3" t="s">
        <v>132</v>
      </c>
      <c r="E66" t="s">
        <v>142</v>
      </c>
    </row>
    <row r="67" spans="1:5">
      <c r="A67" t="s">
        <v>103</v>
      </c>
      <c r="B67" s="3" t="s">
        <v>182</v>
      </c>
      <c r="C67" s="3" t="s">
        <v>132</v>
      </c>
      <c r="E67" t="s">
        <v>142</v>
      </c>
    </row>
    <row r="68" spans="1:5">
      <c r="A68" t="s">
        <v>103</v>
      </c>
      <c r="B68" s="3" t="s">
        <v>183</v>
      </c>
      <c r="C68" s="3" t="s">
        <v>132</v>
      </c>
      <c r="E68" t="s">
        <v>142</v>
      </c>
    </row>
    <row r="69" spans="1:5">
      <c r="A69" t="s">
        <v>103</v>
      </c>
      <c r="B69" s="3" t="s">
        <v>184</v>
      </c>
      <c r="C69" s="3" t="s">
        <v>132</v>
      </c>
      <c r="E69" t="s">
        <v>142</v>
      </c>
    </row>
    <row r="70" spans="1:5">
      <c r="A70" t="s">
        <v>103</v>
      </c>
      <c r="B70" s="3" t="s">
        <v>185</v>
      </c>
      <c r="C70" s="3" t="s">
        <v>133</v>
      </c>
      <c r="D70" s="16" t="s">
        <v>159</v>
      </c>
      <c r="E70" t="s">
        <v>134</v>
      </c>
    </row>
    <row r="71" spans="1:5">
      <c r="A71" t="s">
        <v>104</v>
      </c>
      <c r="B71" s="3" t="s">
        <v>207</v>
      </c>
      <c r="C71" s="3" t="s">
        <v>133</v>
      </c>
      <c r="D71" s="16" t="s">
        <v>208</v>
      </c>
      <c r="E71" t="s">
        <v>134</v>
      </c>
    </row>
    <row r="72" spans="1:5">
      <c r="A72" t="s">
        <v>105</v>
      </c>
      <c r="B72" s="3" t="s">
        <v>209</v>
      </c>
      <c r="C72" s="3" t="s">
        <v>132</v>
      </c>
      <c r="E72" t="s">
        <v>142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門牌</vt:lpstr>
      <vt:lpstr>承租</vt:lpstr>
      <vt:lpstr>應收管理費</vt:lpstr>
      <vt:lpstr>汽機車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2010070501</cp:lastModifiedBy>
  <dcterms:created xsi:type="dcterms:W3CDTF">2024-10-04T04:52:26Z</dcterms:created>
  <dcterms:modified xsi:type="dcterms:W3CDTF">2025-01-02T09:42:07Z</dcterms:modified>
</cp:coreProperties>
</file>